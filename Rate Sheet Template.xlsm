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fc-my.sharepoint.com/personal/deverno_mfcgd_com/Documents/Desktop/Projects/Rate Sheet/"/>
    </mc:Choice>
  </mc:AlternateContent>
  <xr:revisionPtr revIDLastSave="1" documentId="8_{AFD31003-128C-40B3-9BB2-2AD68CF31C5B}" xr6:coauthVersionLast="47" xr6:coauthVersionMax="47" xr10:uidLastSave="{2F92A836-14A9-4B5A-B717-CAE713B8A5D9}"/>
  <bookViews>
    <workbookView xWindow="-120" yWindow="-120" windowWidth="29040" windowHeight="15720" xr2:uid="{00000000-000D-0000-FFFF-FFFF00000000}"/>
  </bookViews>
  <sheets>
    <sheet name="Required Inputs" sheetId="3" r:id="rId1"/>
    <sheet name="Rate Sheet Template" sheetId="1" r:id="rId2"/>
    <sheet name="Step Rate Template" sheetId="2" r:id="rId3"/>
  </sheets>
  <definedNames>
    <definedName name="_xlnm.Print_Area" localSheetId="1">'Rate Sheet Template'!$B$3:$U$117</definedName>
    <definedName name="_xlnm.Print_Titles" localSheetId="1">'Rate Sheet Template'!$3:$8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17" i="1" l="1"/>
  <c r="N117" i="1"/>
  <c r="Q111" i="1"/>
  <c r="Q110" i="1"/>
  <c r="Q109" i="1"/>
  <c r="Q108" i="1"/>
  <c r="Q107" i="1"/>
  <c r="M111" i="1"/>
  <c r="M110" i="1"/>
  <c r="M109" i="1"/>
  <c r="M108" i="1"/>
  <c r="M107" i="1"/>
  <c r="M101" i="1"/>
  <c r="M95" i="1"/>
  <c r="M89" i="1"/>
  <c r="R110" i="1" l="1"/>
  <c r="O110" i="1"/>
  <c r="N110" i="1"/>
  <c r="O111" i="1"/>
  <c r="R111" i="1" s="1"/>
  <c r="U111" i="1"/>
  <c r="R109" i="1"/>
  <c r="O109" i="1"/>
  <c r="U109" i="1"/>
  <c r="O108" i="1"/>
  <c r="R108" i="1" s="1"/>
  <c r="U108" i="1"/>
  <c r="I114" i="1"/>
  <c r="B114" i="1"/>
  <c r="O107" i="1"/>
  <c r="U107" i="1"/>
  <c r="I104" i="1"/>
  <c r="B104" i="1"/>
  <c r="O101" i="1"/>
  <c r="N101" i="1"/>
  <c r="N104" i="1" s="1"/>
  <c r="U104" i="1" s="1"/>
  <c r="O82" i="1"/>
  <c r="P82" i="1"/>
  <c r="O83" i="1"/>
  <c r="P83" i="1"/>
  <c r="M82" i="1"/>
  <c r="N82" i="1" s="1"/>
  <c r="M83" i="1"/>
  <c r="I86" i="1"/>
  <c r="O75" i="1"/>
  <c r="P75" i="1"/>
  <c r="O76" i="1"/>
  <c r="P76" i="1"/>
  <c r="M75" i="1"/>
  <c r="N75" i="1" s="1"/>
  <c r="M76" i="1"/>
  <c r="N76" i="1" s="1"/>
  <c r="I79" i="1"/>
  <c r="O68" i="1"/>
  <c r="P68" i="1"/>
  <c r="O69" i="1"/>
  <c r="P69" i="1"/>
  <c r="M68" i="1"/>
  <c r="N68" i="1" s="1"/>
  <c r="M69" i="1"/>
  <c r="U69" i="1" s="1"/>
  <c r="I72" i="1"/>
  <c r="O61" i="1"/>
  <c r="P61" i="1"/>
  <c r="O62" i="1"/>
  <c r="P62" i="1"/>
  <c r="M61" i="1"/>
  <c r="N61" i="1" s="1"/>
  <c r="M62" i="1"/>
  <c r="N62" i="1" s="1"/>
  <c r="I65" i="1"/>
  <c r="O54" i="1"/>
  <c r="P54" i="1"/>
  <c r="O55" i="1"/>
  <c r="P55" i="1"/>
  <c r="M54" i="1"/>
  <c r="N54" i="1" s="1"/>
  <c r="M55" i="1"/>
  <c r="N55" i="1" s="1"/>
  <c r="I58" i="1"/>
  <c r="I98" i="1"/>
  <c r="I92" i="1"/>
  <c r="I51" i="1"/>
  <c r="I44" i="1"/>
  <c r="I38" i="1"/>
  <c r="I32" i="1"/>
  <c r="I26" i="1"/>
  <c r="I20" i="1"/>
  <c r="I14" i="1"/>
  <c r="O95" i="1"/>
  <c r="O89" i="1"/>
  <c r="O48" i="1"/>
  <c r="P48" i="1"/>
  <c r="O47" i="1"/>
  <c r="P47" i="1"/>
  <c r="O41" i="1"/>
  <c r="P41" i="1"/>
  <c r="M41" i="1"/>
  <c r="N41" i="1" s="1"/>
  <c r="N44" i="1" s="1"/>
  <c r="U44" i="1" s="1"/>
  <c r="O35" i="1"/>
  <c r="P35" i="1"/>
  <c r="M35" i="1"/>
  <c r="N35" i="1" s="1"/>
  <c r="N38" i="1" s="1"/>
  <c r="U38" i="1" s="1"/>
  <c r="O29" i="1"/>
  <c r="P29" i="1"/>
  <c r="O23" i="1"/>
  <c r="P23" i="1"/>
  <c r="P17" i="1"/>
  <c r="P11" i="1"/>
  <c r="O17" i="1"/>
  <c r="O11" i="1"/>
  <c r="M11" i="1"/>
  <c r="N11" i="1" s="1"/>
  <c r="N14" i="1" s="1"/>
  <c r="M17" i="1"/>
  <c r="N17" i="1" s="1"/>
  <c r="N20" i="1" s="1"/>
  <c r="U20" i="1" s="1"/>
  <c r="M23" i="1"/>
  <c r="N23" i="1" s="1"/>
  <c r="N26" i="1" s="1"/>
  <c r="U26" i="1" s="1"/>
  <c r="M29" i="1"/>
  <c r="U29" i="1" s="1"/>
  <c r="M47" i="1"/>
  <c r="N47" i="1" s="1"/>
  <c r="M48" i="1"/>
  <c r="N48" i="1" s="1"/>
  <c r="N89" i="1"/>
  <c r="N92" i="1" s="1"/>
  <c r="U92" i="1" s="1"/>
  <c r="N95" i="1"/>
  <c r="N98" i="1" s="1"/>
  <c r="U98" i="1" s="1"/>
  <c r="U62" i="1"/>
  <c r="A1" i="2"/>
  <c r="A3" i="2"/>
  <c r="A2" i="2"/>
  <c r="B86" i="1"/>
  <c r="B98" i="1"/>
  <c r="B92" i="1"/>
  <c r="J44" i="1"/>
  <c r="J38" i="1"/>
  <c r="J32" i="1"/>
  <c r="J26" i="1"/>
  <c r="J14" i="1"/>
  <c r="B79" i="1"/>
  <c r="B72" i="1"/>
  <c r="B65" i="1"/>
  <c r="B58" i="1"/>
  <c r="B51" i="1"/>
  <c r="B44" i="1"/>
  <c r="B38" i="1"/>
  <c r="B32" i="1"/>
  <c r="B26" i="1"/>
  <c r="B20" i="1"/>
  <c r="B14" i="1"/>
  <c r="J9" i="2"/>
  <c r="H9" i="2"/>
  <c r="H12" i="2"/>
  <c r="I12" i="2"/>
  <c r="J12" i="2"/>
  <c r="K12" i="2"/>
  <c r="H13" i="2"/>
  <c r="I13" i="2"/>
  <c r="J13" i="2"/>
  <c r="K13" i="2"/>
  <c r="H14" i="2"/>
  <c r="I14" i="2"/>
  <c r="J14" i="2"/>
  <c r="K14" i="2"/>
  <c r="H15" i="2"/>
  <c r="I15" i="2"/>
  <c r="J15" i="2"/>
  <c r="K15" i="2"/>
  <c r="H16" i="2"/>
  <c r="I16" i="2"/>
  <c r="J16" i="2"/>
  <c r="K16" i="2"/>
  <c r="H17" i="2"/>
  <c r="I17" i="2"/>
  <c r="J17" i="2"/>
  <c r="K17" i="2"/>
  <c r="H18" i="2"/>
  <c r="I18" i="2"/>
  <c r="J18" i="2"/>
  <c r="K18" i="2"/>
  <c r="H19" i="2"/>
  <c r="I19" i="2"/>
  <c r="J19" i="2"/>
  <c r="K19" i="2"/>
  <c r="H20" i="2"/>
  <c r="I20" i="2"/>
  <c r="J20" i="2"/>
  <c r="K20" i="2"/>
  <c r="I11" i="2"/>
  <c r="J11" i="2"/>
  <c r="K11" i="2"/>
  <c r="H11" i="2"/>
  <c r="U61" i="1" l="1"/>
  <c r="U110" i="1"/>
  <c r="N109" i="1"/>
  <c r="U55" i="1"/>
  <c r="R107" i="1"/>
  <c r="R114" i="1" s="1"/>
  <c r="N111" i="1"/>
  <c r="N108" i="1"/>
  <c r="N107" i="1"/>
  <c r="Q101" i="1"/>
  <c r="R101" i="1" s="1"/>
  <c r="R104" i="1" s="1"/>
  <c r="U101" i="1"/>
  <c r="Q75" i="1"/>
  <c r="R75" i="1" s="1"/>
  <c r="N51" i="1"/>
  <c r="U51" i="1" s="1"/>
  <c r="U48" i="1"/>
  <c r="N83" i="1"/>
  <c r="N86" i="1" s="1"/>
  <c r="Q82" i="1"/>
  <c r="R82" i="1" s="1"/>
  <c r="Q35" i="1"/>
  <c r="R35" i="1" s="1"/>
  <c r="R38" i="1" s="1"/>
  <c r="Q89" i="1"/>
  <c r="R89" i="1" s="1"/>
  <c r="R92" i="1" s="1"/>
  <c r="Q68" i="1"/>
  <c r="R68" i="1" s="1"/>
  <c r="Q23" i="1"/>
  <c r="R23" i="1" s="1"/>
  <c r="R26" i="1" s="1"/>
  <c r="Q95" i="1"/>
  <c r="R95" i="1" s="1"/>
  <c r="R98" i="1" s="1"/>
  <c r="U76" i="1"/>
  <c r="Q54" i="1"/>
  <c r="R54" i="1" s="1"/>
  <c r="N79" i="1"/>
  <c r="U79" i="1" s="1"/>
  <c r="Q47" i="1"/>
  <c r="R47" i="1" s="1"/>
  <c r="U17" i="1"/>
  <c r="Q48" i="1"/>
  <c r="R48" i="1" s="1"/>
  <c r="Q29" i="1"/>
  <c r="R29" i="1" s="1"/>
  <c r="R32" i="1" s="1"/>
  <c r="U41" i="1"/>
  <c r="Q11" i="1"/>
  <c r="R11" i="1" s="1"/>
  <c r="R14" i="1" s="1"/>
  <c r="Q41" i="1"/>
  <c r="R41" i="1" s="1"/>
  <c r="R44" i="1" s="1"/>
  <c r="Q55" i="1"/>
  <c r="R55" i="1" s="1"/>
  <c r="Q76" i="1"/>
  <c r="R76" i="1" s="1"/>
  <c r="Q83" i="1"/>
  <c r="R83" i="1" s="1"/>
  <c r="U68" i="1"/>
  <c r="Q17" i="1"/>
  <c r="R17" i="1" s="1"/>
  <c r="R20" i="1" s="1"/>
  <c r="Q69" i="1"/>
  <c r="R69" i="1" s="1"/>
  <c r="N58" i="1"/>
  <c r="U58" i="1" s="1"/>
  <c r="U23" i="1"/>
  <c r="U89" i="1"/>
  <c r="N65" i="1"/>
  <c r="U65" i="1" s="1"/>
  <c r="U35" i="1"/>
  <c r="U75" i="1"/>
  <c r="Q62" i="1"/>
  <c r="R62" i="1" s="1"/>
  <c r="U47" i="1"/>
  <c r="Q61" i="1"/>
  <c r="R61" i="1" s="1"/>
  <c r="U14" i="1"/>
  <c r="U54" i="1"/>
  <c r="U82" i="1"/>
  <c r="U11" i="1"/>
  <c r="U95" i="1"/>
  <c r="N29" i="1"/>
  <c r="N32" i="1" s="1"/>
  <c r="U32" i="1" s="1"/>
  <c r="N69" i="1"/>
  <c r="N72" i="1" s="1"/>
  <c r="U72" i="1" s="1"/>
  <c r="N114" i="1" l="1"/>
  <c r="U114" i="1" s="1"/>
  <c r="U86" i="1"/>
  <c r="U117" i="1"/>
  <c r="U83" i="1"/>
  <c r="R86" i="1"/>
  <c r="R72" i="1"/>
  <c r="R79" i="1"/>
  <c r="R58" i="1"/>
  <c r="R65" i="1"/>
  <c r="R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Ng</author>
  </authors>
  <commentList>
    <comment ref="B110" authorId="0" shapeId="0" xr:uid="{DF903CB7-22FD-499B-9069-B326EAC6F1BC}">
      <text>
        <r>
          <rPr>
            <sz val="9"/>
            <color indexed="81"/>
            <rFont val="Tahoma"/>
            <family val="2"/>
          </rPr>
          <t xml:space="preserve">If selecting the bundle option, remove the individual options above.
</t>
        </r>
      </text>
    </comment>
    <comment ref="B123" authorId="0" shapeId="0" xr:uid="{5CA56460-1E41-4827-8699-BC1C3B1F69B7}">
      <text>
        <r>
          <rPr>
            <sz val="9"/>
            <color indexed="81"/>
            <rFont val="Tahoma"/>
            <family val="2"/>
          </rPr>
          <t xml:space="preserve">Formerly known as Health Service Navigator (HSN)
</t>
        </r>
      </text>
    </comment>
  </commentList>
</comments>
</file>

<file path=xl/sharedStrings.xml><?xml version="1.0" encoding="utf-8"?>
<sst xmlns="http://schemas.openxmlformats.org/spreadsheetml/2006/main" count="231" uniqueCount="113">
  <si>
    <r>
      <t xml:space="preserve">Select the Benefits That Apply and then click </t>
    </r>
    <r>
      <rPr>
        <b/>
        <sz val="12"/>
        <color indexed="12"/>
        <rFont val="Arial"/>
        <family val="2"/>
      </rPr>
      <t>Next</t>
    </r>
  </si>
  <si>
    <t>Insert Row</t>
  </si>
  <si>
    <t>Rows to Next</t>
  </si>
  <si>
    <t>Total Rows</t>
  </si>
  <si>
    <t>Start Row</t>
  </si>
  <si>
    <t>Life</t>
  </si>
  <si>
    <t>Dep</t>
  </si>
  <si>
    <t>Opt</t>
  </si>
  <si>
    <t>AD&amp;D</t>
  </si>
  <si>
    <t>LTD</t>
  </si>
  <si>
    <t>STD</t>
  </si>
  <si>
    <t>EHC</t>
  </si>
  <si>
    <t>Hosp</t>
  </si>
  <si>
    <t>Drug</t>
  </si>
  <si>
    <t>Vis</t>
  </si>
  <si>
    <t>Pool</t>
  </si>
  <si>
    <t>Dent</t>
  </si>
  <si>
    <t>Critical Illness</t>
  </si>
  <si>
    <t>Resilience</t>
  </si>
  <si>
    <t>Instructions/Helpful Hints</t>
  </si>
  <si>
    <t>1.</t>
  </si>
  <si>
    <r>
      <t>Do not</t>
    </r>
    <r>
      <rPr>
        <sz val="10"/>
        <rFont val="Arial"/>
        <family val="2"/>
      </rPr>
      <t xml:space="preserve"> add rows/columns without using the macro buttons or the formulas will not work correctly.</t>
    </r>
  </si>
  <si>
    <t>2.</t>
  </si>
  <si>
    <t>All column headings and benefit names are unprotected and can be renamed, if necessary.</t>
  </si>
  <si>
    <t>3.</t>
  </si>
  <si>
    <r>
      <t xml:space="preserve">All </t>
    </r>
    <r>
      <rPr>
        <b/>
        <sz val="10"/>
        <color indexed="12"/>
        <rFont val="Arial"/>
        <family val="2"/>
      </rPr>
      <t>blue</t>
    </r>
    <r>
      <rPr>
        <sz val="10"/>
        <rFont val="Arial"/>
        <family val="2"/>
      </rPr>
      <t xml:space="preserve"> fields require manual input.</t>
    </r>
  </si>
  <si>
    <t>4.</t>
  </si>
  <si>
    <t>Basis Column - premium will calculate based on the number reflected in the basis column.  So, if you require a different basis (e.g. $10,000) all you need to do is type it in and the premium will calculate correctly.</t>
  </si>
  <si>
    <t>5.</t>
  </si>
  <si>
    <t>If you require S/F Optional AD&amp;D rates:</t>
  </si>
  <si>
    <t>a)</t>
  </si>
  <si>
    <r>
      <t xml:space="preserve">you can use the Optional Life - Flat rates category and rename, </t>
    </r>
    <r>
      <rPr>
        <b/>
        <i/>
        <sz val="10"/>
        <rFont val="Arial"/>
        <family val="2"/>
      </rPr>
      <t>or</t>
    </r>
  </si>
  <si>
    <t>b)</t>
  </si>
  <si>
    <t>you can add additional rows under the basic AD&amp;D and rename</t>
  </si>
  <si>
    <t>6.</t>
  </si>
  <si>
    <r>
      <t>LTD Basis - if you require % of salary, use the drop down box to change the selection.  Note that this field must have exactly '</t>
    </r>
    <r>
      <rPr>
        <b/>
        <sz val="10"/>
        <rFont val="Arial"/>
        <family val="2"/>
      </rPr>
      <t>% of Salary</t>
    </r>
    <r>
      <rPr>
        <sz val="10"/>
        <rFont val="Arial"/>
        <family val="2"/>
      </rPr>
      <t>' or it will not calculate the premium correctly.</t>
    </r>
  </si>
  <si>
    <t>7.</t>
  </si>
  <si>
    <t>If you require Single/Couple/Family rates, add an additional row and change the basis to reflect how it needs to be shown.</t>
  </si>
  <si>
    <t>8.</t>
  </si>
  <si>
    <t>Once you have completed the rate sheet, use the 'Export to New Workbook' button. This will allow you to hide any additional columns and to format it for printing.</t>
  </si>
  <si>
    <t>9.</t>
  </si>
  <si>
    <t>If you require the sheet to be unprotected, or you need complete excel functionality, set the sheet up as much as possible and export to a new workbook.  Once exported the sheet will be unprotected and all excel functionality returns.</t>
  </si>
  <si>
    <t>Client Name</t>
  </si>
  <si>
    <t>Summary of Proposed Monthly Rates</t>
  </si>
  <si>
    <t>Current</t>
  </si>
  <si>
    <t>Proposed</t>
  </si>
  <si>
    <t>Benefit</t>
  </si>
  <si>
    <t>Contract</t>
  </si>
  <si>
    <t>Division</t>
  </si>
  <si>
    <t xml:space="preserve">Class </t>
  </si>
  <si>
    <t>Plan</t>
  </si>
  <si>
    <t>Basis</t>
  </si>
  <si>
    <t>Lives</t>
  </si>
  <si>
    <t>Volumes/
Salary</t>
  </si>
  <si>
    <t>Experience Rate</t>
  </si>
  <si>
    <t>Deficit Recovery Rate</t>
  </si>
  <si>
    <t>Total Rate</t>
  </si>
  <si>
    <t>Total Premium ($)</t>
  </si>
  <si>
    <t>Exp Rate Change</t>
  </si>
  <si>
    <t>DR Percentage</t>
  </si>
  <si>
    <t>Total Rate Change</t>
  </si>
  <si>
    <t>Basic Life</t>
  </si>
  <si>
    <t>LIFE</t>
  </si>
  <si>
    <t>0</t>
  </si>
  <si>
    <t>Per</t>
  </si>
  <si>
    <t>Dependent Life</t>
  </si>
  <si>
    <t>DEPL</t>
  </si>
  <si>
    <t>Member</t>
  </si>
  <si>
    <t>Optional Life</t>
  </si>
  <si>
    <t>OPTL</t>
  </si>
  <si>
    <t>Accidental Death &amp; Dismemberment</t>
  </si>
  <si>
    <t>Long Term Disability</t>
  </si>
  <si>
    <t xml:space="preserve">LTD </t>
  </si>
  <si>
    <t>Short Term Absence</t>
  </si>
  <si>
    <t>STA</t>
  </si>
  <si>
    <t>Extended Health Care</t>
  </si>
  <si>
    <t xml:space="preserve">EHC </t>
  </si>
  <si>
    <t>Single</t>
  </si>
  <si>
    <t>Family</t>
  </si>
  <si>
    <t>Hospital</t>
  </si>
  <si>
    <t>Drugs</t>
  </si>
  <si>
    <t>Vision</t>
  </si>
  <si>
    <t>Pool Charges</t>
  </si>
  <si>
    <t>Dental Care</t>
  </si>
  <si>
    <t>DENT</t>
  </si>
  <si>
    <t>Employee &amp; Family Assistance</t>
  </si>
  <si>
    <t>HealthCare Online</t>
  </si>
  <si>
    <t xml:space="preserve"> GRAND TOTAL</t>
  </si>
  <si>
    <t>per Member rate of XXXX$ is included in Extended Health Care rates</t>
  </si>
  <si>
    <t>Rate Change:</t>
  </si>
  <si>
    <t>AGE</t>
  </si>
  <si>
    <t>Smoker</t>
  </si>
  <si>
    <t>Non-Smoker</t>
  </si>
  <si>
    <t>Under 25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</si>
  <si>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</si>
  <si>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</si>
  <si>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</si>
  <si>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</si>
  <si>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</si>
  <si>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</si>
  <si>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</si>
  <si>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</si>
  <si>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</si>
  <si>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r>
      <t>Effective</t>
    </r>
    <r>
      <rPr>
        <b/>
        <sz val="11"/>
        <color indexed="12"/>
        <rFont val="Arial"/>
        <family val="2"/>
      </rPr>
      <t xml:space="preserve"> dd-mmm-yyyy</t>
    </r>
  </si>
  <si>
    <r>
      <t>MALE - RATE/</t>
    </r>
    <r>
      <rPr>
        <b/>
        <sz val="8"/>
        <color indexed="12"/>
        <rFont val="Arial"/>
        <family val="2"/>
      </rPr>
      <t>$1,000</t>
    </r>
  </si>
  <si>
    <r>
      <t>FEMALE - RATE/</t>
    </r>
    <r>
      <rPr>
        <b/>
        <sz val="8"/>
        <color indexed="12"/>
        <rFont val="Arial"/>
        <family val="2"/>
      </rPr>
      <t>$1,000</t>
    </r>
  </si>
  <si>
    <t>Women's &amp; Family Health</t>
  </si>
  <si>
    <t>Fertility &amp; Family Building</t>
  </si>
  <si>
    <t>Maternity &amp; Newborn Care</t>
  </si>
  <si>
    <t>Parenting &amp; Pediatrics</t>
  </si>
  <si>
    <t>Menopause &amp; Mental Health</t>
  </si>
  <si>
    <t>Fertility &amp; Family Building, Maternity &amp; Newborn Care, Parenting &amp; Pediatrics Bundle</t>
  </si>
  <si>
    <t>Medical Second Opinion (MSO)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</si>
</sst>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%"/>
    <numFmt numFmtId="165" formatCode="#,##0.000"/>
    <numFmt numFmtId="166" formatCode="0.000"/>
    <numFmt numFmtId="167" formatCode="&quot;$&quot;#,##0"/>
  </numFmts>
  <fonts count="23" x14ac:knownFonts="1">
    <font>
      <sz val="10"/>
      <name val="Arial"/>
    </font>
    <font>
      <sz val="10"/>
      <name val="Arial"/>
      <family val="2"/>
    </font>
    <font>
      <sz val="10"/>
      <name val="Tahoma"/>
      <family val="2"/>
    </font>
    <font>
      <b/>
      <sz val="10"/>
      <name val="Arial"/>
      <family val="2"/>
    </font>
    <font>
      <b/>
      <sz val="12"/>
      <color indexed="12"/>
      <name val="Arial"/>
      <family val="2"/>
    </font>
    <font>
      <b/>
      <i/>
      <sz val="10"/>
      <name val="Arial"/>
      <family val="2"/>
    </font>
    <font>
      <b/>
      <i/>
      <u/>
      <sz val="10"/>
      <name val="Arial"/>
      <family val="2"/>
    </font>
    <font>
      <b/>
      <sz val="10"/>
      <color indexed="12"/>
      <name val="Arial"/>
      <family val="2"/>
    </font>
    <font>
      <b/>
      <i/>
      <sz val="12"/>
      <name val="Arial"/>
      <family val="2"/>
    </font>
    <font>
      <sz val="11"/>
      <color rgb="FF00000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16"/>
      <color indexed="12"/>
      <name val="Arial"/>
      <family val="2"/>
    </font>
    <font>
      <b/>
      <sz val="11"/>
      <color indexed="12"/>
      <name val="Arial"/>
      <family val="2"/>
    </font>
    <font>
      <b/>
      <sz val="11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46138"/>
      </patternFill>
    </fill>
    <fill>
      <patternFill patternType="solid">
        <fgColor theme="0" tint="-0.14999847407452621"/>
        <bgColor rgb="FF00A758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9" fillId="0" borderId="0"/>
  </cellStyleXfs>
  <cellXfs count="130">
    <xf numFmtId="0" fontId="0" fillId="0" borderId="0" xfId="0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Alignment="1">
      <alignment wrapText="1"/>
    </xf>
    <xf numFmtId="0" fontId="8" fillId="0" borderId="0" xfId="0" applyFont="1" applyAlignment="1">
      <alignment horizontal="left"/>
    </xf>
    <xf numFmtId="0" fontId="1" fillId="0" borderId="0" xfId="0" applyFont="1"/>
    <xf numFmtId="0" fontId="10" fillId="0" borderId="0" xfId="0" applyFont="1" applyAlignment="1">
      <alignment horizontal="centerContinuous"/>
    </xf>
    <xf numFmtId="0" fontId="11" fillId="0" borderId="0" xfId="0" applyFont="1" applyAlignment="1">
      <alignment horizontal="centerContinuous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Continuous"/>
    </xf>
    <xf numFmtId="2" fontId="11" fillId="0" borderId="0" xfId="0" applyNumberFormat="1" applyFont="1" applyAlignment="1">
      <alignment horizontal="center"/>
    </xf>
    <xf numFmtId="4" fontId="11" fillId="0" borderId="0" xfId="1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/>
    <xf numFmtId="0" fontId="10" fillId="0" borderId="0" xfId="0" applyFont="1"/>
    <xf numFmtId="0" fontId="11" fillId="0" borderId="0" xfId="0" applyFont="1"/>
    <xf numFmtId="3" fontId="11" fillId="0" borderId="0" xfId="0" applyNumberFormat="1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3" fontId="11" fillId="0" borderId="0" xfId="0" applyNumberFormat="1" applyFont="1" applyAlignment="1">
      <alignment horizontal="right"/>
    </xf>
    <xf numFmtId="0" fontId="3" fillId="0" borderId="0" xfId="0" applyFont="1" applyProtection="1"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6" fillId="0" borderId="0" xfId="0" quotePrefix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167" fontId="16" fillId="0" borderId="0" xfId="0" applyNumberFormat="1" applyFont="1" applyAlignment="1" applyProtection="1">
      <alignment horizont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165" fontId="16" fillId="0" borderId="0" xfId="0" quotePrefix="1" applyNumberFormat="1" applyFont="1" applyAlignment="1" applyProtection="1">
      <alignment horizontal="center"/>
      <protection locked="0"/>
    </xf>
    <xf numFmtId="165" fontId="11" fillId="0" borderId="0" xfId="0" quotePrefix="1" applyNumberFormat="1" applyFont="1" applyAlignment="1">
      <alignment horizontal="center"/>
    </xf>
    <xf numFmtId="4" fontId="11" fillId="0" borderId="0" xfId="1" quotePrefix="1" applyNumberFormat="1" applyFont="1" applyBorder="1" applyAlignment="1">
      <alignment horizontal="center"/>
    </xf>
    <xf numFmtId="165" fontId="10" fillId="0" borderId="0" xfId="0" quotePrefix="1" applyNumberFormat="1" applyFont="1" applyAlignment="1">
      <alignment horizontal="center"/>
    </xf>
    <xf numFmtId="164" fontId="15" fillId="0" borderId="0" xfId="0" quotePrefix="1" applyNumberFormat="1" applyFont="1" applyAlignment="1" applyProtection="1">
      <alignment horizontal="center"/>
      <protection locked="0"/>
    </xf>
    <xf numFmtId="164" fontId="10" fillId="0" borderId="0" xfId="0" quotePrefix="1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16" fillId="0" borderId="0" xfId="0" quotePrefix="1" applyFont="1" applyAlignment="1">
      <alignment horizontal="center"/>
    </xf>
    <xf numFmtId="167" fontId="16" fillId="0" borderId="0" xfId="0" applyNumberFormat="1" applyFont="1" applyAlignment="1">
      <alignment horizontal="center"/>
    </xf>
    <xf numFmtId="3" fontId="16" fillId="0" borderId="0" xfId="0" applyNumberFormat="1" applyFont="1" applyAlignment="1">
      <alignment horizontal="center"/>
    </xf>
    <xf numFmtId="165" fontId="16" fillId="0" borderId="0" xfId="0" quotePrefix="1" applyNumberFormat="1" applyFont="1" applyAlignment="1">
      <alignment horizontal="center"/>
    </xf>
    <xf numFmtId="164" fontId="15" fillId="0" borderId="0" xfId="0" quotePrefix="1" applyNumberFormat="1" applyFont="1" applyAlignment="1">
      <alignment horizontal="center"/>
    </xf>
    <xf numFmtId="0" fontId="11" fillId="0" borderId="0" xfId="0" quotePrefix="1" applyFont="1"/>
    <xf numFmtId="4" fontId="11" fillId="0" borderId="1" xfId="1" quotePrefix="1" applyNumberFormat="1" applyFont="1" applyBorder="1" applyAlignment="1">
      <alignment horizontal="center"/>
    </xf>
    <xf numFmtId="164" fontId="11" fillId="0" borderId="0" xfId="0" quotePrefix="1" applyNumberFormat="1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3" fontId="11" fillId="0" borderId="0" xfId="1" quotePrefix="1" applyNumberFormat="1" applyFont="1" applyBorder="1" applyAlignment="1" applyProtection="1">
      <alignment horizontal="center"/>
      <protection locked="0"/>
    </xf>
    <xf numFmtId="3" fontId="11" fillId="0" borderId="0" xfId="1" quotePrefix="1" applyNumberFormat="1" applyFont="1" applyBorder="1" applyAlignment="1">
      <alignment horizontal="center"/>
    </xf>
    <xf numFmtId="2" fontId="10" fillId="0" borderId="0" xfId="0" quotePrefix="1" applyNumberFormat="1" applyFont="1" applyAlignment="1">
      <alignment horizontal="center"/>
    </xf>
    <xf numFmtId="3" fontId="10" fillId="0" borderId="0" xfId="0" quotePrefix="1" applyNumberFormat="1" applyFont="1" applyAlignment="1">
      <alignment horizontal="right"/>
    </xf>
    <xf numFmtId="4" fontId="10" fillId="0" borderId="0" xfId="1" quotePrefix="1" applyNumberFormat="1" applyFont="1" applyBorder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3" fontId="16" fillId="0" borderId="0" xfId="0" quotePrefix="1" applyNumberFormat="1" applyFont="1" applyAlignment="1" applyProtection="1">
      <alignment horizontal="center"/>
      <protection locked="0"/>
    </xf>
    <xf numFmtId="3" fontId="16" fillId="0" borderId="0" xfId="0" quotePrefix="1" applyNumberFormat="1" applyFont="1" applyAlignment="1">
      <alignment horizontal="center"/>
    </xf>
    <xf numFmtId="2" fontId="16" fillId="0" borderId="0" xfId="0" quotePrefix="1" applyNumberFormat="1" applyFont="1" applyAlignment="1">
      <alignment horizontal="center"/>
    </xf>
    <xf numFmtId="4" fontId="11" fillId="0" borderId="0" xfId="0" quotePrefix="1" applyNumberFormat="1" applyFont="1" applyAlignment="1">
      <alignment horizontal="center"/>
    </xf>
    <xf numFmtId="3" fontId="11" fillId="0" borderId="0" xfId="1" quotePrefix="1" applyNumberFormat="1" applyFont="1" applyBorder="1" applyAlignment="1" applyProtection="1">
      <alignment horizontal="center"/>
    </xf>
    <xf numFmtId="0" fontId="16" fillId="0" borderId="0" xfId="0" applyFont="1"/>
    <xf numFmtId="4" fontId="11" fillId="0" borderId="0" xfId="1" quotePrefix="1" applyNumberFormat="1" applyFont="1" applyAlignment="1">
      <alignment horizontal="center"/>
    </xf>
    <xf numFmtId="3" fontId="16" fillId="0" borderId="0" xfId="2" quotePrefix="1" applyNumberFormat="1" applyFont="1" applyAlignment="1" applyProtection="1">
      <alignment horizontal="center"/>
      <protection locked="0"/>
    </xf>
    <xf numFmtId="165" fontId="16" fillId="0" borderId="0" xfId="2" quotePrefix="1" applyNumberFormat="1" applyFont="1" applyAlignment="1" applyProtection="1">
      <alignment horizontal="center"/>
      <protection locked="0"/>
    </xf>
    <xf numFmtId="167" fontId="11" fillId="0" borderId="0" xfId="0" applyNumberFormat="1" applyFont="1" applyAlignment="1">
      <alignment horizontal="center"/>
    </xf>
    <xf numFmtId="3" fontId="16" fillId="0" borderId="0" xfId="2" quotePrefix="1" applyNumberFormat="1" applyFont="1" applyAlignment="1">
      <alignment horizontal="center"/>
    </xf>
    <xf numFmtId="165" fontId="16" fillId="0" borderId="0" xfId="2" quotePrefix="1" applyNumberFormat="1" applyFont="1" applyAlignment="1">
      <alignment horizontal="center"/>
    </xf>
    <xf numFmtId="166" fontId="16" fillId="0" borderId="0" xfId="0" quotePrefix="1" applyNumberFormat="1" applyFont="1" applyAlignment="1" applyProtection="1">
      <alignment horizontal="center"/>
      <protection locked="0"/>
    </xf>
    <xf numFmtId="166" fontId="16" fillId="0" borderId="0" xfId="0" quotePrefix="1" applyNumberFormat="1" applyFont="1" applyAlignment="1">
      <alignment horizontal="center"/>
    </xf>
    <xf numFmtId="2" fontId="11" fillId="0" borderId="0" xfId="0" quotePrefix="1" applyNumberFormat="1" applyFont="1" applyAlignment="1">
      <alignment horizontal="center"/>
    </xf>
    <xf numFmtId="0" fontId="11" fillId="0" borderId="0" xfId="0" quotePrefix="1" applyFont="1" applyProtection="1">
      <protection locked="0"/>
    </xf>
    <xf numFmtId="2" fontId="16" fillId="0" borderId="0" xfId="0" applyNumberFormat="1" applyFont="1" applyAlignment="1" applyProtection="1">
      <alignment horizontal="center"/>
      <protection locked="0"/>
    </xf>
    <xf numFmtId="2" fontId="16" fillId="0" borderId="0" xfId="0" quotePrefix="1" applyNumberFormat="1" applyFont="1" applyAlignment="1" applyProtection="1">
      <alignment horizontal="center"/>
      <protection locked="0"/>
    </xf>
    <xf numFmtId="4" fontId="10" fillId="0" borderId="0" xfId="0" quotePrefix="1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10" fontId="11" fillId="0" borderId="0" xfId="0" applyNumberFormat="1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2" fontId="19" fillId="0" borderId="0" xfId="0" applyNumberFormat="1" applyFont="1"/>
    <xf numFmtId="2" fontId="21" fillId="0" borderId="0" xfId="0" applyNumberFormat="1" applyFont="1"/>
    <xf numFmtId="0" fontId="10" fillId="0" borderId="0" xfId="0" applyFont="1" applyAlignment="1">
      <alignment horizontal="right"/>
    </xf>
    <xf numFmtId="2" fontId="11" fillId="0" borderId="0" xfId="0" applyNumberFormat="1" applyFont="1"/>
    <xf numFmtId="0" fontId="20" fillId="0" borderId="0" xfId="0" applyFont="1" applyAlignment="1">
      <alignment horizontal="centerContinuous"/>
    </xf>
    <xf numFmtId="0" fontId="1" fillId="0" borderId="0" xfId="0" applyFont="1" applyAlignment="1">
      <alignment horizontal="centerContinuous"/>
    </xf>
    <xf numFmtId="10" fontId="20" fillId="0" borderId="0" xfId="3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10" fontId="20" fillId="0" borderId="4" xfId="3" applyNumberFormat="1" applyFont="1" applyBorder="1" applyAlignment="1" applyProtection="1">
      <alignment horizontal="center" vertical="center"/>
    </xf>
    <xf numFmtId="2" fontId="1" fillId="0" borderId="0" xfId="0" applyNumberFormat="1" applyFont="1"/>
    <xf numFmtId="0" fontId="10" fillId="0" borderId="2" xfId="0" applyFont="1" applyBorder="1" applyAlignment="1">
      <alignment horizontal="centerContinuous"/>
    </xf>
    <xf numFmtId="0" fontId="11" fillId="0" borderId="3" xfId="0" applyFont="1" applyBorder="1" applyAlignment="1">
      <alignment horizontal="centerContinuous"/>
    </xf>
    <xf numFmtId="0" fontId="11" fillId="0" borderId="4" xfId="0" applyFont="1" applyBorder="1" applyAlignment="1">
      <alignment horizontal="centerContinuous"/>
    </xf>
    <xf numFmtId="0" fontId="11" fillId="0" borderId="16" xfId="0" applyFont="1" applyBorder="1"/>
    <xf numFmtId="0" fontId="10" fillId="0" borderId="8" xfId="0" applyFont="1" applyBorder="1"/>
    <xf numFmtId="0" fontId="10" fillId="0" borderId="5" xfId="0" applyFont="1" applyBorder="1" applyAlignment="1">
      <alignment horizontal="centerContinuous"/>
    </xf>
    <xf numFmtId="0" fontId="11" fillId="0" borderId="6" xfId="0" applyFont="1" applyBorder="1" applyAlignment="1">
      <alignment horizontal="centerContinuous"/>
    </xf>
    <xf numFmtId="0" fontId="11" fillId="0" borderId="7" xfId="0" applyFont="1" applyBorder="1" applyAlignment="1">
      <alignment horizontal="centerContinuous"/>
    </xf>
    <xf numFmtId="0" fontId="10" fillId="0" borderId="11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/>
    <xf numFmtId="165" fontId="11" fillId="0" borderId="9" xfId="0" applyNumberFormat="1" applyFont="1" applyBorder="1" applyAlignment="1">
      <alignment horizontal="right"/>
    </xf>
    <xf numFmtId="165" fontId="11" fillId="0" borderId="10" xfId="0" applyNumberFormat="1" applyFont="1" applyBorder="1" applyAlignment="1">
      <alignment horizontal="right"/>
    </xf>
    <xf numFmtId="0" fontId="10" fillId="0" borderId="15" xfId="0" applyFont="1" applyBorder="1"/>
    <xf numFmtId="165" fontId="11" fillId="0" borderId="13" xfId="0" applyNumberFormat="1" applyFont="1" applyBorder="1" applyAlignment="1">
      <alignment horizontal="right"/>
    </xf>
    <xf numFmtId="165" fontId="11" fillId="0" borderId="14" xfId="0" applyNumberFormat="1" applyFont="1" applyBorder="1" applyAlignment="1">
      <alignment horizontal="right"/>
    </xf>
    <xf numFmtId="0" fontId="10" fillId="0" borderId="17" xfId="0" applyFont="1" applyBorder="1"/>
    <xf numFmtId="0" fontId="11" fillId="0" borderId="17" xfId="0" applyFont="1" applyBorder="1"/>
    <xf numFmtId="0" fontId="3" fillId="3" borderId="9" xfId="4" applyFont="1" applyFill="1" applyBorder="1" applyAlignment="1">
      <alignment horizontal="center" vertical="top" wrapText="1" readingOrder="1"/>
    </xf>
    <xf numFmtId="0" fontId="3" fillId="4" borderId="18" xfId="4" applyFont="1" applyFill="1" applyBorder="1" applyAlignment="1">
      <alignment horizontal="center" vertical="center" wrapText="1" readingOrder="1"/>
    </xf>
    <xf numFmtId="4" fontId="3" fillId="4" borderId="18" xfId="4" applyNumberFormat="1" applyFont="1" applyFill="1" applyBorder="1" applyAlignment="1">
      <alignment horizontal="center" vertical="center" wrapText="1" readingOrder="1"/>
    </xf>
    <xf numFmtId="0" fontId="11" fillId="0" borderId="0" xfId="0" applyFont="1" applyAlignment="1" applyProtection="1">
      <alignment horizontal="center" wrapText="1"/>
      <protection locked="0"/>
    </xf>
    <xf numFmtId="0" fontId="0" fillId="0" borderId="0" xfId="0" applyAlignment="1">
      <alignment horizontal="left" wrapText="1"/>
    </xf>
    <xf numFmtId="0" fontId="3" fillId="0" borderId="0" xfId="0" applyFont="1" applyAlignment="1">
      <alignment horizontal="left" wrapText="1"/>
    </xf>
    <xf numFmtId="0" fontId="0" fillId="0" borderId="0" xfId="0" applyAlignment="1">
      <alignment wrapText="1"/>
    </xf>
    <xf numFmtId="0" fontId="12" fillId="0" borderId="0" xfId="0" applyFont="1" applyAlignment="1" applyProtection="1">
      <alignment horizontal="center" wrapText="1"/>
      <protection locked="0"/>
    </xf>
    <xf numFmtId="0" fontId="1" fillId="0" borderId="0" xfId="0" applyFont="1"/>
    <xf numFmtId="0" fontId="13" fillId="0" borderId="0" xfId="0" applyFont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wrapText="1"/>
      <protection locked="0"/>
    </xf>
    <xf numFmtId="2" fontId="3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17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 wrapText="1"/>
      <protection locked="0"/>
    </xf>
    <xf numFmtId="2" fontId="7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17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wrapText="1"/>
    </xf>
    <xf numFmtId="0" fontId="20" fillId="0" borderId="0" xfId="0" applyFont="1" applyAlignment="1">
      <alignment horizontal="center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</cellXfs>
  <cellStyles count="5">
    <cellStyle name="Comma" xfId="1" builtinId="3"/>
    <cellStyle name="Normal" xfId="0" builtinId="0"/>
    <cellStyle name="Normal 2" xfId="4" xr:uid="{1CACF6D2-32F9-4B18-A87A-21D0211977F0}"/>
    <cellStyle name="Normal_Feuil1" xfId="2" xr:uid="{00000000-0005-0000-0000-000002000000}"/>
    <cellStyle name="Percent" xfId="3" builtinId="5"/>
  </cellStyles>
  <dxfs count="1"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42.emf"/><Relationship Id="rId18" Type="http://schemas.openxmlformats.org/officeDocument/2006/relationships/image" Target="../media/image37.emf"/><Relationship Id="rId26" Type="http://schemas.openxmlformats.org/officeDocument/2006/relationships/image" Target="../media/image29.emf"/><Relationship Id="rId3" Type="http://schemas.openxmlformats.org/officeDocument/2006/relationships/image" Target="../media/image52.emf"/><Relationship Id="rId21" Type="http://schemas.openxmlformats.org/officeDocument/2006/relationships/image" Target="../media/image34.emf"/><Relationship Id="rId34" Type="http://schemas.openxmlformats.org/officeDocument/2006/relationships/image" Target="../media/image21.emf"/><Relationship Id="rId7" Type="http://schemas.openxmlformats.org/officeDocument/2006/relationships/image" Target="../media/image48.emf"/><Relationship Id="rId12" Type="http://schemas.openxmlformats.org/officeDocument/2006/relationships/image" Target="../media/image43.emf"/><Relationship Id="rId17" Type="http://schemas.openxmlformats.org/officeDocument/2006/relationships/image" Target="../media/image38.emf"/><Relationship Id="rId25" Type="http://schemas.openxmlformats.org/officeDocument/2006/relationships/image" Target="../media/image30.emf"/><Relationship Id="rId33" Type="http://schemas.openxmlformats.org/officeDocument/2006/relationships/image" Target="../media/image22.emf"/><Relationship Id="rId2" Type="http://schemas.openxmlformats.org/officeDocument/2006/relationships/image" Target="../media/image53.emf"/><Relationship Id="rId16" Type="http://schemas.openxmlformats.org/officeDocument/2006/relationships/image" Target="../media/image39.emf"/><Relationship Id="rId20" Type="http://schemas.openxmlformats.org/officeDocument/2006/relationships/image" Target="../media/image35.emf"/><Relationship Id="rId29" Type="http://schemas.openxmlformats.org/officeDocument/2006/relationships/image" Target="../media/image26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11" Type="http://schemas.openxmlformats.org/officeDocument/2006/relationships/image" Target="../media/image44.emf"/><Relationship Id="rId24" Type="http://schemas.openxmlformats.org/officeDocument/2006/relationships/image" Target="../media/image31.emf"/><Relationship Id="rId32" Type="http://schemas.openxmlformats.org/officeDocument/2006/relationships/image" Target="../media/image23.emf"/><Relationship Id="rId37" Type="http://schemas.openxmlformats.org/officeDocument/2006/relationships/image" Target="../media/image18.emf"/><Relationship Id="rId5" Type="http://schemas.openxmlformats.org/officeDocument/2006/relationships/image" Target="../media/image50.emf"/><Relationship Id="rId15" Type="http://schemas.openxmlformats.org/officeDocument/2006/relationships/image" Target="../media/image40.emf"/><Relationship Id="rId23" Type="http://schemas.openxmlformats.org/officeDocument/2006/relationships/image" Target="../media/image32.emf"/><Relationship Id="rId28" Type="http://schemas.openxmlformats.org/officeDocument/2006/relationships/image" Target="../media/image27.emf"/><Relationship Id="rId36" Type="http://schemas.openxmlformats.org/officeDocument/2006/relationships/image" Target="../media/image19.emf"/><Relationship Id="rId10" Type="http://schemas.openxmlformats.org/officeDocument/2006/relationships/image" Target="../media/image45.emf"/><Relationship Id="rId19" Type="http://schemas.openxmlformats.org/officeDocument/2006/relationships/image" Target="../media/image36.emf"/><Relationship Id="rId31" Type="http://schemas.openxmlformats.org/officeDocument/2006/relationships/image" Target="../media/image24.emf"/><Relationship Id="rId4" Type="http://schemas.openxmlformats.org/officeDocument/2006/relationships/image" Target="../media/image51.emf"/><Relationship Id="rId9" Type="http://schemas.openxmlformats.org/officeDocument/2006/relationships/image" Target="../media/image46.emf"/><Relationship Id="rId14" Type="http://schemas.openxmlformats.org/officeDocument/2006/relationships/image" Target="../media/image41.emf"/><Relationship Id="rId22" Type="http://schemas.openxmlformats.org/officeDocument/2006/relationships/image" Target="../media/image33.emf"/><Relationship Id="rId27" Type="http://schemas.openxmlformats.org/officeDocument/2006/relationships/image" Target="../media/image28.emf"/><Relationship Id="rId30" Type="http://schemas.openxmlformats.org/officeDocument/2006/relationships/image" Target="../media/image25.emf"/><Relationship Id="rId35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0</xdr:rowOff>
        </xdr:from>
        <xdr:to>
          <xdr:col>3</xdr:col>
          <xdr:colOff>2105025</xdr:colOff>
          <xdr:row>4</xdr:row>
          <xdr:rowOff>28575</xdr:rowOff>
        </xdr:to>
        <xdr:sp macro="" textlink="">
          <xdr:nvSpPr>
            <xdr:cNvPr id="2049" name="ChkLif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4</xdr:row>
          <xdr:rowOff>38100</xdr:rowOff>
        </xdr:from>
        <xdr:to>
          <xdr:col>3</xdr:col>
          <xdr:colOff>2105025</xdr:colOff>
          <xdr:row>5</xdr:row>
          <xdr:rowOff>66675</xdr:rowOff>
        </xdr:to>
        <xdr:sp macro="" textlink="">
          <xdr:nvSpPr>
            <xdr:cNvPr id="2050" name="ChkDep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5</xdr:row>
          <xdr:rowOff>76200</xdr:rowOff>
        </xdr:from>
        <xdr:to>
          <xdr:col>3</xdr:col>
          <xdr:colOff>2105025</xdr:colOff>
          <xdr:row>6</xdr:row>
          <xdr:rowOff>104775</xdr:rowOff>
        </xdr:to>
        <xdr:sp macro="" textlink="">
          <xdr:nvSpPr>
            <xdr:cNvPr id="2051" name="ChkOp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6</xdr:row>
          <xdr:rowOff>114300</xdr:rowOff>
        </xdr:from>
        <xdr:to>
          <xdr:col>3</xdr:col>
          <xdr:colOff>2105025</xdr:colOff>
          <xdr:row>7</xdr:row>
          <xdr:rowOff>142875</xdr:rowOff>
        </xdr:to>
        <xdr:sp macro="" textlink="">
          <xdr:nvSpPr>
            <xdr:cNvPr id="2052" name="ChkAD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7</xdr:row>
          <xdr:rowOff>152400</xdr:rowOff>
        </xdr:from>
        <xdr:to>
          <xdr:col>3</xdr:col>
          <xdr:colOff>2105025</xdr:colOff>
          <xdr:row>9</xdr:row>
          <xdr:rowOff>19050</xdr:rowOff>
        </xdr:to>
        <xdr:sp macro="" textlink="">
          <xdr:nvSpPr>
            <xdr:cNvPr id="2053" name="ChkLT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28575</xdr:rowOff>
        </xdr:from>
        <xdr:to>
          <xdr:col>3</xdr:col>
          <xdr:colOff>2105025</xdr:colOff>
          <xdr:row>10</xdr:row>
          <xdr:rowOff>57150</xdr:rowOff>
        </xdr:to>
        <xdr:sp macro="" textlink="">
          <xdr:nvSpPr>
            <xdr:cNvPr id="2054" name="ChkSTD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10</xdr:row>
          <xdr:rowOff>66675</xdr:rowOff>
        </xdr:from>
        <xdr:to>
          <xdr:col>3</xdr:col>
          <xdr:colOff>2105025</xdr:colOff>
          <xdr:row>11</xdr:row>
          <xdr:rowOff>95250</xdr:rowOff>
        </xdr:to>
        <xdr:sp macro="" textlink="">
          <xdr:nvSpPr>
            <xdr:cNvPr id="2055" name="ChkEHC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11</xdr:row>
          <xdr:rowOff>104775</xdr:rowOff>
        </xdr:from>
        <xdr:to>
          <xdr:col>3</xdr:col>
          <xdr:colOff>2105025</xdr:colOff>
          <xdr:row>12</xdr:row>
          <xdr:rowOff>133350</xdr:rowOff>
        </xdr:to>
        <xdr:sp macro="" textlink="">
          <xdr:nvSpPr>
            <xdr:cNvPr id="2056" name="ChkHosp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12</xdr:row>
          <xdr:rowOff>142875</xdr:rowOff>
        </xdr:from>
        <xdr:to>
          <xdr:col>3</xdr:col>
          <xdr:colOff>2105025</xdr:colOff>
          <xdr:row>14</xdr:row>
          <xdr:rowOff>9525</xdr:rowOff>
        </xdr:to>
        <xdr:sp macro="" textlink="">
          <xdr:nvSpPr>
            <xdr:cNvPr id="2057" name="ChkDrug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14</xdr:row>
          <xdr:rowOff>19050</xdr:rowOff>
        </xdr:from>
        <xdr:to>
          <xdr:col>3</xdr:col>
          <xdr:colOff>2105025</xdr:colOff>
          <xdr:row>15</xdr:row>
          <xdr:rowOff>47625</xdr:rowOff>
        </xdr:to>
        <xdr:sp macro="" textlink="">
          <xdr:nvSpPr>
            <xdr:cNvPr id="2058" name="ChkVis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15</xdr:row>
          <xdr:rowOff>57150</xdr:rowOff>
        </xdr:from>
        <xdr:to>
          <xdr:col>3</xdr:col>
          <xdr:colOff>2105025</xdr:colOff>
          <xdr:row>16</xdr:row>
          <xdr:rowOff>85725</xdr:rowOff>
        </xdr:to>
        <xdr:sp macro="" textlink="">
          <xdr:nvSpPr>
            <xdr:cNvPr id="2059" name="ChkPool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16</xdr:row>
          <xdr:rowOff>95250</xdr:rowOff>
        </xdr:from>
        <xdr:to>
          <xdr:col>3</xdr:col>
          <xdr:colOff>2105025</xdr:colOff>
          <xdr:row>17</xdr:row>
          <xdr:rowOff>123825</xdr:rowOff>
        </xdr:to>
        <xdr:sp macro="" textlink="">
          <xdr:nvSpPr>
            <xdr:cNvPr id="2060" name="ChkDent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2781300</xdr:colOff>
          <xdr:row>3</xdr:row>
          <xdr:rowOff>66675</xdr:rowOff>
        </xdr:from>
        <xdr:to>
          <xdr:col>3</xdr:col>
          <xdr:colOff>3905250</xdr:colOff>
          <xdr:row>5</xdr:row>
          <xdr:rowOff>28575</xdr:rowOff>
        </xdr:to>
        <xdr:sp macro="" textlink="">
          <xdr:nvSpPr>
            <xdr:cNvPr id="2066" name="CmdNext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17</xdr:row>
          <xdr:rowOff>152400</xdr:rowOff>
        </xdr:from>
        <xdr:to>
          <xdr:col>3</xdr:col>
          <xdr:colOff>2105025</xdr:colOff>
          <xdr:row>19</xdr:row>
          <xdr:rowOff>19050</xdr:rowOff>
        </xdr:to>
        <xdr:sp macro="" textlink="">
          <xdr:nvSpPr>
            <xdr:cNvPr id="2067" name="ChkCritIll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19</xdr:row>
          <xdr:rowOff>47625</xdr:rowOff>
        </xdr:from>
        <xdr:to>
          <xdr:col>3</xdr:col>
          <xdr:colOff>2447925</xdr:colOff>
          <xdr:row>20</xdr:row>
          <xdr:rowOff>66675</xdr:rowOff>
        </xdr:to>
        <xdr:sp macro="" textlink="">
          <xdr:nvSpPr>
            <xdr:cNvPr id="2068" name="ChkResilience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20</xdr:row>
          <xdr:rowOff>104775</xdr:rowOff>
        </xdr:from>
        <xdr:to>
          <xdr:col>3</xdr:col>
          <xdr:colOff>2095500</xdr:colOff>
          <xdr:row>23</xdr:row>
          <xdr:rowOff>0</xdr:rowOff>
        </xdr:to>
        <xdr:sp macro="" textlink="">
          <xdr:nvSpPr>
            <xdr:cNvPr id="2069" name="ChkStep65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23</xdr:row>
          <xdr:rowOff>38100</xdr:rowOff>
        </xdr:from>
        <xdr:to>
          <xdr:col>3</xdr:col>
          <xdr:colOff>2095500</xdr:colOff>
          <xdr:row>25</xdr:row>
          <xdr:rowOff>95250</xdr:rowOff>
        </xdr:to>
        <xdr:sp macro="" textlink="">
          <xdr:nvSpPr>
            <xdr:cNvPr id="2071" name="ChkStep70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</xdr:row>
          <xdr:rowOff>9525</xdr:rowOff>
        </xdr:from>
        <xdr:to>
          <xdr:col>0</xdr:col>
          <xdr:colOff>723900</xdr:colOff>
          <xdr:row>12</xdr:row>
          <xdr:rowOff>161925</xdr:rowOff>
        </xdr:to>
        <xdr:sp macro="" textlink="">
          <xdr:nvSpPr>
            <xdr:cNvPr id="1025" name="AddLif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17</xdr:row>
          <xdr:rowOff>28575</xdr:rowOff>
        </xdr:from>
        <xdr:to>
          <xdr:col>0</xdr:col>
          <xdr:colOff>723900</xdr:colOff>
          <xdr:row>19</xdr:row>
          <xdr:rowOff>9525</xdr:rowOff>
        </xdr:to>
        <xdr:sp macro="" textlink="">
          <xdr:nvSpPr>
            <xdr:cNvPr id="1026" name="AddDe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23</xdr:row>
          <xdr:rowOff>0</xdr:rowOff>
        </xdr:from>
        <xdr:to>
          <xdr:col>0</xdr:col>
          <xdr:colOff>723900</xdr:colOff>
          <xdr:row>24</xdr:row>
          <xdr:rowOff>152400</xdr:rowOff>
        </xdr:to>
        <xdr:sp macro="" textlink="">
          <xdr:nvSpPr>
            <xdr:cNvPr id="1027" name="AddO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29</xdr:row>
          <xdr:rowOff>9525</xdr:rowOff>
        </xdr:from>
        <xdr:to>
          <xdr:col>0</xdr:col>
          <xdr:colOff>723900</xdr:colOff>
          <xdr:row>30</xdr:row>
          <xdr:rowOff>161925</xdr:rowOff>
        </xdr:to>
        <xdr:sp macro="" textlink="">
          <xdr:nvSpPr>
            <xdr:cNvPr id="1028" name="AddAD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35</xdr:row>
          <xdr:rowOff>0</xdr:rowOff>
        </xdr:from>
        <xdr:to>
          <xdr:col>0</xdr:col>
          <xdr:colOff>723900</xdr:colOff>
          <xdr:row>36</xdr:row>
          <xdr:rowOff>152400</xdr:rowOff>
        </xdr:to>
        <xdr:sp macro="" textlink="">
          <xdr:nvSpPr>
            <xdr:cNvPr id="1029" name="AddLTD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41</xdr:row>
          <xdr:rowOff>0</xdr:rowOff>
        </xdr:from>
        <xdr:to>
          <xdr:col>0</xdr:col>
          <xdr:colOff>723900</xdr:colOff>
          <xdr:row>42</xdr:row>
          <xdr:rowOff>152400</xdr:rowOff>
        </xdr:to>
        <xdr:sp macro="" textlink="">
          <xdr:nvSpPr>
            <xdr:cNvPr id="1030" name="AddST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48</xdr:row>
          <xdr:rowOff>0</xdr:rowOff>
        </xdr:from>
        <xdr:to>
          <xdr:col>0</xdr:col>
          <xdr:colOff>723900</xdr:colOff>
          <xdr:row>49</xdr:row>
          <xdr:rowOff>152400</xdr:rowOff>
        </xdr:to>
        <xdr:sp macro="" textlink="">
          <xdr:nvSpPr>
            <xdr:cNvPr id="1031" name="AddEH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55</xdr:row>
          <xdr:rowOff>19050</xdr:rowOff>
        </xdr:from>
        <xdr:to>
          <xdr:col>0</xdr:col>
          <xdr:colOff>723900</xdr:colOff>
          <xdr:row>57</xdr:row>
          <xdr:rowOff>9525</xdr:rowOff>
        </xdr:to>
        <xdr:sp macro="" textlink="">
          <xdr:nvSpPr>
            <xdr:cNvPr id="1032" name="AddHos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62</xdr:row>
          <xdr:rowOff>9525</xdr:rowOff>
        </xdr:from>
        <xdr:to>
          <xdr:col>0</xdr:col>
          <xdr:colOff>723900</xdr:colOff>
          <xdr:row>63</xdr:row>
          <xdr:rowOff>161925</xdr:rowOff>
        </xdr:to>
        <xdr:sp macro="" textlink="">
          <xdr:nvSpPr>
            <xdr:cNvPr id="1033" name="AddDrug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69</xdr:row>
          <xdr:rowOff>9525</xdr:rowOff>
        </xdr:from>
        <xdr:to>
          <xdr:col>0</xdr:col>
          <xdr:colOff>723900</xdr:colOff>
          <xdr:row>70</xdr:row>
          <xdr:rowOff>161925</xdr:rowOff>
        </xdr:to>
        <xdr:sp macro="" textlink="">
          <xdr:nvSpPr>
            <xdr:cNvPr id="1034" name="AddV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76</xdr:row>
          <xdr:rowOff>19050</xdr:rowOff>
        </xdr:from>
        <xdr:to>
          <xdr:col>0</xdr:col>
          <xdr:colOff>723900</xdr:colOff>
          <xdr:row>78</xdr:row>
          <xdr:rowOff>9525</xdr:rowOff>
        </xdr:to>
        <xdr:sp macro="" textlink="">
          <xdr:nvSpPr>
            <xdr:cNvPr id="1035" name="AddPoo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83</xdr:row>
          <xdr:rowOff>0</xdr:rowOff>
        </xdr:from>
        <xdr:to>
          <xdr:col>0</xdr:col>
          <xdr:colOff>723900</xdr:colOff>
          <xdr:row>84</xdr:row>
          <xdr:rowOff>152400</xdr:rowOff>
        </xdr:to>
        <xdr:sp macro="" textlink="">
          <xdr:nvSpPr>
            <xdr:cNvPr id="1036" name="AddDental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11</xdr:row>
          <xdr:rowOff>9525</xdr:rowOff>
        </xdr:from>
        <xdr:to>
          <xdr:col>0</xdr:col>
          <xdr:colOff>1485900</xdr:colOff>
          <xdr:row>12</xdr:row>
          <xdr:rowOff>161925</xdr:rowOff>
        </xdr:to>
        <xdr:sp macro="" textlink="">
          <xdr:nvSpPr>
            <xdr:cNvPr id="1037" name="DelLif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17</xdr:row>
          <xdr:rowOff>28575</xdr:rowOff>
        </xdr:from>
        <xdr:to>
          <xdr:col>0</xdr:col>
          <xdr:colOff>1485900</xdr:colOff>
          <xdr:row>19</xdr:row>
          <xdr:rowOff>9525</xdr:rowOff>
        </xdr:to>
        <xdr:sp macro="" textlink="">
          <xdr:nvSpPr>
            <xdr:cNvPr id="1038" name="DelDep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23</xdr:row>
          <xdr:rowOff>0</xdr:rowOff>
        </xdr:from>
        <xdr:to>
          <xdr:col>0</xdr:col>
          <xdr:colOff>1485900</xdr:colOff>
          <xdr:row>24</xdr:row>
          <xdr:rowOff>152400</xdr:rowOff>
        </xdr:to>
        <xdr:sp macro="" textlink="">
          <xdr:nvSpPr>
            <xdr:cNvPr id="1039" name="DelOp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29</xdr:row>
          <xdr:rowOff>9525</xdr:rowOff>
        </xdr:from>
        <xdr:to>
          <xdr:col>0</xdr:col>
          <xdr:colOff>1485900</xdr:colOff>
          <xdr:row>30</xdr:row>
          <xdr:rowOff>161925</xdr:rowOff>
        </xdr:to>
        <xdr:sp macro="" textlink="">
          <xdr:nvSpPr>
            <xdr:cNvPr id="1040" name="DelADD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35</xdr:row>
          <xdr:rowOff>0</xdr:rowOff>
        </xdr:from>
        <xdr:to>
          <xdr:col>0</xdr:col>
          <xdr:colOff>1485900</xdr:colOff>
          <xdr:row>36</xdr:row>
          <xdr:rowOff>152400</xdr:rowOff>
        </xdr:to>
        <xdr:sp macro="" textlink="">
          <xdr:nvSpPr>
            <xdr:cNvPr id="1041" name="DelLTD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41</xdr:row>
          <xdr:rowOff>0</xdr:rowOff>
        </xdr:from>
        <xdr:to>
          <xdr:col>0</xdr:col>
          <xdr:colOff>1485900</xdr:colOff>
          <xdr:row>42</xdr:row>
          <xdr:rowOff>152400</xdr:rowOff>
        </xdr:to>
        <xdr:sp macro="" textlink="">
          <xdr:nvSpPr>
            <xdr:cNvPr id="1042" name="DelSTD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48</xdr:row>
          <xdr:rowOff>0</xdr:rowOff>
        </xdr:from>
        <xdr:to>
          <xdr:col>0</xdr:col>
          <xdr:colOff>1485900</xdr:colOff>
          <xdr:row>49</xdr:row>
          <xdr:rowOff>152400</xdr:rowOff>
        </xdr:to>
        <xdr:sp macro="" textlink="">
          <xdr:nvSpPr>
            <xdr:cNvPr id="1043" name="DelEHC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55</xdr:row>
          <xdr:rowOff>19050</xdr:rowOff>
        </xdr:from>
        <xdr:to>
          <xdr:col>0</xdr:col>
          <xdr:colOff>1485900</xdr:colOff>
          <xdr:row>57</xdr:row>
          <xdr:rowOff>9525</xdr:rowOff>
        </xdr:to>
        <xdr:sp macro="" textlink="">
          <xdr:nvSpPr>
            <xdr:cNvPr id="1044" name="DelHos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62</xdr:row>
          <xdr:rowOff>9525</xdr:rowOff>
        </xdr:from>
        <xdr:to>
          <xdr:col>0</xdr:col>
          <xdr:colOff>1485900</xdr:colOff>
          <xdr:row>63</xdr:row>
          <xdr:rowOff>161925</xdr:rowOff>
        </xdr:to>
        <xdr:sp macro="" textlink="">
          <xdr:nvSpPr>
            <xdr:cNvPr id="1045" name="DelDrug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69</xdr:row>
          <xdr:rowOff>9525</xdr:rowOff>
        </xdr:from>
        <xdr:to>
          <xdr:col>0</xdr:col>
          <xdr:colOff>1485900</xdr:colOff>
          <xdr:row>70</xdr:row>
          <xdr:rowOff>161925</xdr:rowOff>
        </xdr:to>
        <xdr:sp macro="" textlink="">
          <xdr:nvSpPr>
            <xdr:cNvPr id="1046" name="DelVis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76</xdr:row>
          <xdr:rowOff>19050</xdr:rowOff>
        </xdr:from>
        <xdr:to>
          <xdr:col>0</xdr:col>
          <xdr:colOff>1485900</xdr:colOff>
          <xdr:row>78</xdr:row>
          <xdr:rowOff>9525</xdr:rowOff>
        </xdr:to>
        <xdr:sp macro="" textlink="">
          <xdr:nvSpPr>
            <xdr:cNvPr id="1047" name="DelPool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781050</xdr:colOff>
          <xdr:row>83</xdr:row>
          <xdr:rowOff>0</xdr:rowOff>
        </xdr:from>
        <xdr:to>
          <xdr:col>0</xdr:col>
          <xdr:colOff>1485900</xdr:colOff>
          <xdr:row>84</xdr:row>
          <xdr:rowOff>152400</xdr:rowOff>
        </xdr:to>
        <xdr:sp macro="" textlink="">
          <xdr:nvSpPr>
            <xdr:cNvPr id="1048" name="DelDental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0</xdr:row>
          <xdr:rowOff>66675</xdr:rowOff>
        </xdr:from>
        <xdr:to>
          <xdr:col>12</xdr:col>
          <xdr:colOff>457200</xdr:colOff>
          <xdr:row>2</xdr:row>
          <xdr:rowOff>0</xdr:rowOff>
        </xdr:to>
        <xdr:sp macro="" textlink="">
          <xdr:nvSpPr>
            <xdr:cNvPr id="1051" name="HideDR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57150</xdr:rowOff>
        </xdr:from>
        <xdr:to>
          <xdr:col>13</xdr:col>
          <xdr:colOff>66675</xdr:colOff>
          <xdr:row>1</xdr:row>
          <xdr:rowOff>152400</xdr:rowOff>
        </xdr:to>
        <xdr:sp macro="" textlink="">
          <xdr:nvSpPr>
            <xdr:cNvPr id="1052" name="ShowDR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533400</xdr:colOff>
          <xdr:row>0</xdr:row>
          <xdr:rowOff>66675</xdr:rowOff>
        </xdr:from>
        <xdr:to>
          <xdr:col>19</xdr:col>
          <xdr:colOff>95250</xdr:colOff>
          <xdr:row>2</xdr:row>
          <xdr:rowOff>0</xdr:rowOff>
        </xdr:to>
        <xdr:sp macro="" textlink="">
          <xdr:nvSpPr>
            <xdr:cNvPr id="1053" name="cmdExpor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89</xdr:row>
          <xdr:rowOff>0</xdr:rowOff>
        </xdr:from>
        <xdr:to>
          <xdr:col>0</xdr:col>
          <xdr:colOff>723900</xdr:colOff>
          <xdr:row>90</xdr:row>
          <xdr:rowOff>152400</xdr:rowOff>
        </xdr:to>
        <xdr:sp macro="" textlink="">
          <xdr:nvSpPr>
            <xdr:cNvPr id="1054" name="AddCritIll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0</xdr:col>
          <xdr:colOff>704850</xdr:colOff>
          <xdr:row>116</xdr:row>
          <xdr:rowOff>142875</xdr:rowOff>
        </xdr:to>
        <xdr:sp macro="" textlink="">
          <xdr:nvSpPr>
            <xdr:cNvPr id="1055" name="DelCritIll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0</xdr:col>
          <xdr:colOff>704850</xdr:colOff>
          <xdr:row>116</xdr:row>
          <xdr:rowOff>142875</xdr:rowOff>
        </xdr:to>
        <xdr:sp macro="" textlink="">
          <xdr:nvSpPr>
            <xdr:cNvPr id="1056" name="AddResilienc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0</xdr:col>
          <xdr:colOff>704850</xdr:colOff>
          <xdr:row>116</xdr:row>
          <xdr:rowOff>142875</xdr:rowOff>
        </xdr:to>
        <xdr:sp macro="" textlink="">
          <xdr:nvSpPr>
            <xdr:cNvPr id="1057" name="DelResilienc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2362200</xdr:colOff>
          <xdr:row>0</xdr:row>
          <xdr:rowOff>66675</xdr:rowOff>
        </xdr:from>
        <xdr:to>
          <xdr:col>3</xdr:col>
          <xdr:colOff>266700</xdr:colOff>
          <xdr:row>2</xdr:row>
          <xdr:rowOff>0</xdr:rowOff>
        </xdr:to>
        <xdr:sp macro="" textlink="">
          <xdr:nvSpPr>
            <xdr:cNvPr id="1062" name="ShowDiv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66675</xdr:rowOff>
        </xdr:from>
        <xdr:to>
          <xdr:col>3</xdr:col>
          <xdr:colOff>276225</xdr:colOff>
          <xdr:row>2</xdr:row>
          <xdr:rowOff>0</xdr:rowOff>
        </xdr:to>
        <xdr:sp macro="" textlink="">
          <xdr:nvSpPr>
            <xdr:cNvPr id="1063" name="HideDiv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0</xdr:row>
          <xdr:rowOff>38100</xdr:rowOff>
        </xdr:from>
        <xdr:to>
          <xdr:col>5</xdr:col>
          <xdr:colOff>438150</xdr:colOff>
          <xdr:row>1</xdr:row>
          <xdr:rowOff>133350</xdr:rowOff>
        </xdr:to>
        <xdr:sp macro="" textlink="">
          <xdr:nvSpPr>
            <xdr:cNvPr id="1067" name="ShowClas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66675</xdr:rowOff>
        </xdr:from>
        <xdr:to>
          <xdr:col>9</xdr:col>
          <xdr:colOff>190500</xdr:colOff>
          <xdr:row>2</xdr:row>
          <xdr:rowOff>0</xdr:rowOff>
        </xdr:to>
        <xdr:sp macro="" textlink="">
          <xdr:nvSpPr>
            <xdr:cNvPr id="1068" name="ShowPlan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0</xdr:row>
          <xdr:rowOff>38100</xdr:rowOff>
        </xdr:from>
        <xdr:to>
          <xdr:col>5</xdr:col>
          <xdr:colOff>438150</xdr:colOff>
          <xdr:row>1</xdr:row>
          <xdr:rowOff>133350</xdr:rowOff>
        </xdr:to>
        <xdr:sp macro="" textlink="">
          <xdr:nvSpPr>
            <xdr:cNvPr id="1069" name="HideClas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66675</xdr:rowOff>
        </xdr:from>
        <xdr:to>
          <xdr:col>9</xdr:col>
          <xdr:colOff>209550</xdr:colOff>
          <xdr:row>2</xdr:row>
          <xdr:rowOff>0</xdr:rowOff>
        </xdr:to>
        <xdr:sp macro="" textlink="">
          <xdr:nvSpPr>
            <xdr:cNvPr id="1070" name="HidePla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762000</xdr:colOff>
      <xdr:row>2</xdr:row>
      <xdr:rowOff>100965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286000" cy="4607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0</xdr:row>
      <xdr:rowOff>276225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524000" cy="27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2.emf"/><Relationship Id="rId18" Type="http://schemas.openxmlformats.org/officeDocument/2006/relationships/control" Target="../activeX/activeX25.xml"/><Relationship Id="rId26" Type="http://schemas.openxmlformats.org/officeDocument/2006/relationships/control" Target="../activeX/activeX29.xml"/><Relationship Id="rId39" Type="http://schemas.openxmlformats.org/officeDocument/2006/relationships/image" Target="../media/image35.emf"/><Relationship Id="rId21" Type="http://schemas.openxmlformats.org/officeDocument/2006/relationships/image" Target="../media/image26.emf"/><Relationship Id="rId34" Type="http://schemas.openxmlformats.org/officeDocument/2006/relationships/control" Target="../activeX/activeX33.xml"/><Relationship Id="rId42" Type="http://schemas.openxmlformats.org/officeDocument/2006/relationships/control" Target="../activeX/activeX37.xml"/><Relationship Id="rId47" Type="http://schemas.openxmlformats.org/officeDocument/2006/relationships/image" Target="../media/image39.emf"/><Relationship Id="rId50" Type="http://schemas.openxmlformats.org/officeDocument/2006/relationships/control" Target="../activeX/activeX41.xml"/><Relationship Id="rId55" Type="http://schemas.openxmlformats.org/officeDocument/2006/relationships/image" Target="../media/image43.emf"/><Relationship Id="rId63" Type="http://schemas.openxmlformats.org/officeDocument/2006/relationships/image" Target="../media/image47.emf"/><Relationship Id="rId68" Type="http://schemas.openxmlformats.org/officeDocument/2006/relationships/control" Target="../activeX/activeX50.xml"/><Relationship Id="rId76" Type="http://schemas.openxmlformats.org/officeDocument/2006/relationships/control" Target="../activeX/activeX54.xml"/><Relationship Id="rId7" Type="http://schemas.openxmlformats.org/officeDocument/2006/relationships/image" Target="../media/image19.emf"/><Relationship Id="rId71" Type="http://schemas.openxmlformats.org/officeDocument/2006/relationships/image" Target="../media/image5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4.xml"/><Relationship Id="rId29" Type="http://schemas.openxmlformats.org/officeDocument/2006/relationships/image" Target="../media/image30.emf"/><Relationship Id="rId11" Type="http://schemas.openxmlformats.org/officeDocument/2006/relationships/image" Target="../media/image21.emf"/><Relationship Id="rId24" Type="http://schemas.openxmlformats.org/officeDocument/2006/relationships/control" Target="../activeX/activeX28.xml"/><Relationship Id="rId32" Type="http://schemas.openxmlformats.org/officeDocument/2006/relationships/control" Target="../activeX/activeX32.xml"/><Relationship Id="rId37" Type="http://schemas.openxmlformats.org/officeDocument/2006/relationships/image" Target="../media/image34.emf"/><Relationship Id="rId40" Type="http://schemas.openxmlformats.org/officeDocument/2006/relationships/control" Target="../activeX/activeX36.xml"/><Relationship Id="rId45" Type="http://schemas.openxmlformats.org/officeDocument/2006/relationships/image" Target="../media/image38.emf"/><Relationship Id="rId53" Type="http://schemas.openxmlformats.org/officeDocument/2006/relationships/image" Target="../media/image42.emf"/><Relationship Id="rId58" Type="http://schemas.openxmlformats.org/officeDocument/2006/relationships/control" Target="../activeX/activeX45.xml"/><Relationship Id="rId66" Type="http://schemas.openxmlformats.org/officeDocument/2006/relationships/control" Target="../activeX/activeX49.xml"/><Relationship Id="rId74" Type="http://schemas.openxmlformats.org/officeDocument/2006/relationships/control" Target="../activeX/activeX53.xml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28" Type="http://schemas.openxmlformats.org/officeDocument/2006/relationships/control" Target="../activeX/activeX30.xml"/><Relationship Id="rId36" Type="http://schemas.openxmlformats.org/officeDocument/2006/relationships/control" Target="../activeX/activeX34.xml"/><Relationship Id="rId49" Type="http://schemas.openxmlformats.org/officeDocument/2006/relationships/image" Target="../media/image40.emf"/><Relationship Id="rId57" Type="http://schemas.openxmlformats.org/officeDocument/2006/relationships/image" Target="../media/image44.emf"/><Relationship Id="rId61" Type="http://schemas.openxmlformats.org/officeDocument/2006/relationships/image" Target="../media/image46.emf"/><Relationship Id="rId10" Type="http://schemas.openxmlformats.org/officeDocument/2006/relationships/control" Target="../activeX/activeX21.xml"/><Relationship Id="rId19" Type="http://schemas.openxmlformats.org/officeDocument/2006/relationships/image" Target="../media/image25.emf"/><Relationship Id="rId31" Type="http://schemas.openxmlformats.org/officeDocument/2006/relationships/image" Target="../media/image31.emf"/><Relationship Id="rId44" Type="http://schemas.openxmlformats.org/officeDocument/2006/relationships/control" Target="../activeX/activeX38.xml"/><Relationship Id="rId52" Type="http://schemas.openxmlformats.org/officeDocument/2006/relationships/control" Target="../activeX/activeX42.xml"/><Relationship Id="rId60" Type="http://schemas.openxmlformats.org/officeDocument/2006/relationships/control" Target="../activeX/activeX46.xml"/><Relationship Id="rId65" Type="http://schemas.openxmlformats.org/officeDocument/2006/relationships/image" Target="../media/image48.emf"/><Relationship Id="rId73" Type="http://schemas.openxmlformats.org/officeDocument/2006/relationships/image" Target="../media/image52.emf"/><Relationship Id="rId78" Type="http://schemas.openxmlformats.org/officeDocument/2006/relationships/comments" Target="../comments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Relationship Id="rId22" Type="http://schemas.openxmlformats.org/officeDocument/2006/relationships/control" Target="../activeX/activeX27.xml"/><Relationship Id="rId27" Type="http://schemas.openxmlformats.org/officeDocument/2006/relationships/image" Target="../media/image29.emf"/><Relationship Id="rId30" Type="http://schemas.openxmlformats.org/officeDocument/2006/relationships/control" Target="../activeX/activeX31.xml"/><Relationship Id="rId35" Type="http://schemas.openxmlformats.org/officeDocument/2006/relationships/image" Target="../media/image33.emf"/><Relationship Id="rId43" Type="http://schemas.openxmlformats.org/officeDocument/2006/relationships/image" Target="../media/image37.emf"/><Relationship Id="rId48" Type="http://schemas.openxmlformats.org/officeDocument/2006/relationships/control" Target="../activeX/activeX40.xml"/><Relationship Id="rId56" Type="http://schemas.openxmlformats.org/officeDocument/2006/relationships/control" Target="../activeX/activeX44.xml"/><Relationship Id="rId64" Type="http://schemas.openxmlformats.org/officeDocument/2006/relationships/control" Target="../activeX/activeX48.xml"/><Relationship Id="rId69" Type="http://schemas.openxmlformats.org/officeDocument/2006/relationships/image" Target="../media/image50.emf"/><Relationship Id="rId77" Type="http://schemas.openxmlformats.org/officeDocument/2006/relationships/image" Target="../media/image54.emf"/><Relationship Id="rId8" Type="http://schemas.openxmlformats.org/officeDocument/2006/relationships/control" Target="../activeX/activeX20.xml"/><Relationship Id="rId51" Type="http://schemas.openxmlformats.org/officeDocument/2006/relationships/image" Target="../media/image41.emf"/><Relationship Id="rId72" Type="http://schemas.openxmlformats.org/officeDocument/2006/relationships/control" Target="../activeX/activeX5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2.xml"/><Relationship Id="rId17" Type="http://schemas.openxmlformats.org/officeDocument/2006/relationships/image" Target="../media/image24.emf"/><Relationship Id="rId25" Type="http://schemas.openxmlformats.org/officeDocument/2006/relationships/image" Target="../media/image28.emf"/><Relationship Id="rId33" Type="http://schemas.openxmlformats.org/officeDocument/2006/relationships/image" Target="../media/image32.emf"/><Relationship Id="rId38" Type="http://schemas.openxmlformats.org/officeDocument/2006/relationships/control" Target="../activeX/activeX35.xml"/><Relationship Id="rId46" Type="http://schemas.openxmlformats.org/officeDocument/2006/relationships/control" Target="../activeX/activeX39.xml"/><Relationship Id="rId59" Type="http://schemas.openxmlformats.org/officeDocument/2006/relationships/image" Target="../media/image45.emf"/><Relationship Id="rId67" Type="http://schemas.openxmlformats.org/officeDocument/2006/relationships/image" Target="../media/image49.emf"/><Relationship Id="rId20" Type="http://schemas.openxmlformats.org/officeDocument/2006/relationships/control" Target="../activeX/activeX26.xml"/><Relationship Id="rId41" Type="http://schemas.openxmlformats.org/officeDocument/2006/relationships/image" Target="../media/image36.emf"/><Relationship Id="rId54" Type="http://schemas.openxmlformats.org/officeDocument/2006/relationships/control" Target="../activeX/activeX43.xml"/><Relationship Id="rId62" Type="http://schemas.openxmlformats.org/officeDocument/2006/relationships/control" Target="../activeX/activeX47.xml"/><Relationship Id="rId70" Type="http://schemas.openxmlformats.org/officeDocument/2006/relationships/control" Target="../activeX/activeX51.xml"/><Relationship Id="rId75" Type="http://schemas.openxmlformats.org/officeDocument/2006/relationships/image" Target="../media/image53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O47"/>
  <sheetViews>
    <sheetView showGridLines="0" tabSelected="1" workbookViewId="0">
      <selection activeCell="D35" sqref="D35"/>
    </sheetView>
  </sheetViews>
  <sheetFormatPr defaultRowHeight="12.75" x14ac:dyDescent="0.2"/>
  <cols>
    <col min="1" max="1" width="4.7109375" style="3" customWidth="1"/>
    <col min="2" max="2" width="1.7109375" customWidth="1"/>
    <col min="3" max="3" width="4.7109375" customWidth="1"/>
    <col min="4" max="4" width="85.7109375" customWidth="1"/>
    <col min="10" max="10" width="12.5703125" hidden="1" customWidth="1"/>
    <col min="11" max="11" width="10.85546875" hidden="1" customWidth="1"/>
    <col min="12" max="12" width="13.140625" hidden="1" customWidth="1"/>
    <col min="13" max="13" width="10.140625" hidden="1" customWidth="1"/>
    <col min="14" max="14" width="9.140625" hidden="1" customWidth="1"/>
  </cols>
  <sheetData>
    <row r="1" spans="1:15" ht="15.75" x14ac:dyDescent="0.25">
      <c r="A1" s="6" t="s">
        <v>0</v>
      </c>
      <c r="B1" s="1"/>
      <c r="C1" s="1"/>
    </row>
    <row r="3" spans="1:15" x14ac:dyDescent="0.2">
      <c r="O3" s="7"/>
    </row>
    <row r="4" spans="1:15" x14ac:dyDescent="0.2">
      <c r="J4" s="7"/>
      <c r="K4" s="7" t="s">
        <v>1</v>
      </c>
      <c r="L4" s="7" t="s">
        <v>2</v>
      </c>
      <c r="M4" s="7" t="s">
        <v>3</v>
      </c>
      <c r="N4" s="7" t="s">
        <v>4</v>
      </c>
      <c r="O4" s="7"/>
    </row>
    <row r="5" spans="1:15" x14ac:dyDescent="0.2">
      <c r="J5" s="7" t="s">
        <v>5</v>
      </c>
      <c r="K5" s="7">
        <v>12</v>
      </c>
      <c r="L5" s="7">
        <v>6</v>
      </c>
      <c r="M5" s="7">
        <v>6</v>
      </c>
      <c r="N5" s="7">
        <v>10</v>
      </c>
      <c r="O5" s="7"/>
    </row>
    <row r="6" spans="1:15" x14ac:dyDescent="0.2">
      <c r="J6" s="7" t="s">
        <v>6</v>
      </c>
      <c r="K6" s="7">
        <v>18</v>
      </c>
      <c r="L6" s="7">
        <v>6</v>
      </c>
      <c r="M6" s="7">
        <v>6</v>
      </c>
      <c r="N6" s="7">
        <v>16</v>
      </c>
      <c r="O6" s="7"/>
    </row>
    <row r="7" spans="1:15" x14ac:dyDescent="0.2">
      <c r="J7" s="7" t="s">
        <v>7</v>
      </c>
      <c r="K7" s="7">
        <v>24</v>
      </c>
      <c r="L7" s="7">
        <v>6</v>
      </c>
      <c r="M7" s="7">
        <v>6</v>
      </c>
      <c r="N7" s="7">
        <v>22</v>
      </c>
      <c r="O7" s="7"/>
    </row>
    <row r="8" spans="1:15" x14ac:dyDescent="0.2">
      <c r="J8" s="7" t="s">
        <v>8</v>
      </c>
      <c r="K8" s="7">
        <v>30</v>
      </c>
      <c r="L8" s="7">
        <v>6</v>
      </c>
      <c r="M8" s="7">
        <v>6</v>
      </c>
      <c r="N8" s="7">
        <v>28</v>
      </c>
      <c r="O8" s="7"/>
    </row>
    <row r="9" spans="1:15" x14ac:dyDescent="0.2">
      <c r="J9" s="7" t="s">
        <v>9</v>
      </c>
      <c r="K9" s="7">
        <v>36</v>
      </c>
      <c r="L9" s="7">
        <v>6</v>
      </c>
      <c r="M9" s="7">
        <v>6</v>
      </c>
      <c r="N9" s="7">
        <v>34</v>
      </c>
      <c r="O9" s="7"/>
    </row>
    <row r="10" spans="1:15" x14ac:dyDescent="0.2">
      <c r="J10" s="7" t="s">
        <v>10</v>
      </c>
      <c r="K10" s="7">
        <v>42</v>
      </c>
      <c r="L10" s="7">
        <v>7</v>
      </c>
      <c r="M10" s="7">
        <v>6</v>
      </c>
      <c r="N10" s="7">
        <v>40</v>
      </c>
      <c r="O10" s="7"/>
    </row>
    <row r="11" spans="1:15" x14ac:dyDescent="0.2">
      <c r="J11" s="7" t="s">
        <v>11</v>
      </c>
      <c r="K11" s="7">
        <v>49</v>
      </c>
      <c r="L11" s="7">
        <v>7</v>
      </c>
      <c r="M11" s="7">
        <v>7</v>
      </c>
      <c r="N11" s="7">
        <v>46</v>
      </c>
      <c r="O11" s="7"/>
    </row>
    <row r="12" spans="1:15" x14ac:dyDescent="0.2">
      <c r="J12" s="7" t="s">
        <v>12</v>
      </c>
      <c r="K12" s="7">
        <v>56</v>
      </c>
      <c r="L12" s="7">
        <v>7</v>
      </c>
      <c r="M12" s="7">
        <v>7</v>
      </c>
      <c r="N12" s="7">
        <v>53</v>
      </c>
      <c r="O12" s="7"/>
    </row>
    <row r="13" spans="1:15" x14ac:dyDescent="0.2">
      <c r="J13" s="7" t="s">
        <v>13</v>
      </c>
      <c r="K13" s="7">
        <v>63</v>
      </c>
      <c r="L13" s="7">
        <v>7</v>
      </c>
      <c r="M13" s="7">
        <v>7</v>
      </c>
      <c r="N13" s="7">
        <v>60</v>
      </c>
      <c r="O13" s="7"/>
    </row>
    <row r="14" spans="1:15" x14ac:dyDescent="0.2">
      <c r="J14" s="7" t="s">
        <v>14</v>
      </c>
      <c r="K14" s="7">
        <v>70</v>
      </c>
      <c r="L14" s="7">
        <v>7</v>
      </c>
      <c r="M14" s="7">
        <v>7</v>
      </c>
      <c r="N14" s="7">
        <v>67</v>
      </c>
      <c r="O14" s="7"/>
    </row>
    <row r="15" spans="1:15" x14ac:dyDescent="0.2">
      <c r="J15" s="7" t="s">
        <v>15</v>
      </c>
      <c r="K15" s="7">
        <v>77</v>
      </c>
      <c r="L15" s="7">
        <v>7</v>
      </c>
      <c r="M15" s="7">
        <v>7</v>
      </c>
      <c r="N15" s="7">
        <v>74</v>
      </c>
      <c r="O15" s="7"/>
    </row>
    <row r="16" spans="1:15" x14ac:dyDescent="0.2">
      <c r="J16" s="7" t="s">
        <v>16</v>
      </c>
      <c r="K16" s="7">
        <v>84</v>
      </c>
      <c r="L16" s="7">
        <v>7</v>
      </c>
      <c r="M16" s="7">
        <v>7</v>
      </c>
      <c r="N16" s="7">
        <v>81</v>
      </c>
      <c r="O16" s="7"/>
    </row>
    <row r="17" spans="1:14" x14ac:dyDescent="0.2">
      <c r="J17" s="7" t="s">
        <v>17</v>
      </c>
      <c r="K17" s="7">
        <v>90</v>
      </c>
      <c r="L17" s="7">
        <v>7</v>
      </c>
      <c r="M17" s="7">
        <v>6</v>
      </c>
      <c r="N17" s="7">
        <v>88</v>
      </c>
    </row>
    <row r="18" spans="1:14" x14ac:dyDescent="0.2">
      <c r="J18" t="s">
        <v>18</v>
      </c>
      <c r="K18" s="7">
        <v>96</v>
      </c>
      <c r="M18" s="7">
        <v>6</v>
      </c>
      <c r="N18" s="7">
        <v>94</v>
      </c>
    </row>
    <row r="28" spans="1:14" ht="15" x14ac:dyDescent="0.2">
      <c r="A28" s="6" t="s">
        <v>19</v>
      </c>
      <c r="B28" s="1"/>
      <c r="C28" s="2"/>
    </row>
    <row r="30" spans="1:14" ht="12.75" customHeight="1" x14ac:dyDescent="0.2">
      <c r="A30" s="4" t="s">
        <v>20</v>
      </c>
      <c r="B30" s="4"/>
      <c r="C30" s="113" t="s">
        <v>21</v>
      </c>
      <c r="D30" s="112"/>
    </row>
    <row r="31" spans="1:14" x14ac:dyDescent="0.2">
      <c r="A31" s="4" t="s">
        <v>22</v>
      </c>
      <c r="C31" t="s">
        <v>23</v>
      </c>
    </row>
    <row r="32" spans="1:14" x14ac:dyDescent="0.2">
      <c r="A32" s="4" t="s">
        <v>24</v>
      </c>
      <c r="C32" t="s">
        <v>25</v>
      </c>
    </row>
    <row r="33" spans="1:4" ht="12.75" customHeight="1" x14ac:dyDescent="0.2">
      <c r="A33" s="4" t="s">
        <v>26</v>
      </c>
      <c r="B33" s="4"/>
      <c r="C33" s="112" t="s">
        <v>27</v>
      </c>
      <c r="D33" s="112"/>
    </row>
    <row r="34" spans="1:4" x14ac:dyDescent="0.2">
      <c r="B34" s="3"/>
      <c r="C34" s="112"/>
      <c r="D34" s="112"/>
    </row>
    <row r="35" spans="1:4" x14ac:dyDescent="0.2">
      <c r="A35" s="4" t="s">
        <v>28</v>
      </c>
      <c r="C35" t="s">
        <v>29</v>
      </c>
    </row>
    <row r="36" spans="1:4" x14ac:dyDescent="0.2">
      <c r="C36" t="s">
        <v>30</v>
      </c>
      <c r="D36" t="s">
        <v>31</v>
      </c>
    </row>
    <row r="37" spans="1:4" x14ac:dyDescent="0.2">
      <c r="C37" t="s">
        <v>32</v>
      </c>
      <c r="D37" t="s">
        <v>33</v>
      </c>
    </row>
    <row r="38" spans="1:4" ht="12.75" customHeight="1" x14ac:dyDescent="0.2">
      <c r="A38" s="4" t="s">
        <v>34</v>
      </c>
      <c r="B38" s="4"/>
      <c r="C38" s="114" t="s">
        <v>35</v>
      </c>
      <c r="D38" s="114"/>
    </row>
    <row r="39" spans="1:4" x14ac:dyDescent="0.2">
      <c r="B39" s="3"/>
      <c r="C39" s="114"/>
      <c r="D39" s="114"/>
    </row>
    <row r="40" spans="1:4" x14ac:dyDescent="0.2">
      <c r="A40" s="4" t="s">
        <v>36</v>
      </c>
      <c r="B40" s="4"/>
      <c r="C40" s="114" t="s">
        <v>37</v>
      </c>
      <c r="D40" s="114"/>
    </row>
    <row r="41" spans="1:4" x14ac:dyDescent="0.2">
      <c r="B41" s="3"/>
      <c r="C41" s="114"/>
      <c r="D41" s="114"/>
    </row>
    <row r="42" spans="1:4" x14ac:dyDescent="0.2">
      <c r="A42" s="4" t="s">
        <v>38</v>
      </c>
      <c r="B42" s="4"/>
      <c r="C42" s="114" t="s">
        <v>39</v>
      </c>
      <c r="D42" s="114"/>
    </row>
    <row r="43" spans="1:4" x14ac:dyDescent="0.2">
      <c r="B43" s="3"/>
      <c r="C43" s="114"/>
      <c r="D43" s="114"/>
    </row>
    <row r="44" spans="1:4" ht="12.75" customHeight="1" x14ac:dyDescent="0.2">
      <c r="A44" s="4" t="s">
        <v>40</v>
      </c>
      <c r="B44" s="4"/>
      <c r="C44" s="112" t="s">
        <v>41</v>
      </c>
      <c r="D44" s="112"/>
    </row>
    <row r="45" spans="1:4" x14ac:dyDescent="0.2">
      <c r="B45" s="3"/>
      <c r="C45" s="112"/>
      <c r="D45" s="112"/>
    </row>
    <row r="46" spans="1:4" x14ac:dyDescent="0.2">
      <c r="B46" s="3"/>
      <c r="C46" s="112"/>
      <c r="D46" s="112"/>
    </row>
    <row r="47" spans="1:4" x14ac:dyDescent="0.2">
      <c r="B47" s="3"/>
      <c r="C47" s="5"/>
      <c r="D47" s="5"/>
    </row>
  </sheetData>
  <mergeCells count="6">
    <mergeCell ref="C44:D46"/>
    <mergeCell ref="C30:D30"/>
    <mergeCell ref="C33:D34"/>
    <mergeCell ref="C38:D39"/>
    <mergeCell ref="C40:D41"/>
    <mergeCell ref="C42:D43"/>
  </mergeCells>
  <phoneticPr fontId="0" type="noConversion"/>
  <printOptions horizontalCentered="1"/>
  <pageMargins left="0.5" right="0.5" top="1" bottom="1" header="0.5" footer="0.5"/>
  <pageSetup orientation="portrait" r:id="rId1"/>
  <headerFooter alignWithMargins="0">
    <oddFooter>&amp;C&amp;1#&amp;"Calibri"&amp;10&amp;K000000Information à usage interne - Internal</oddFooter>
  </headerFooter>
  <drawing r:id="rId2"/>
  <legacyDrawing r:id="rId3"/>
  <controls>
    <mc:AlternateContent xmlns:mc="http://schemas.openxmlformats.org/markup-compatibility/2006">
      <mc:Choice Requires="x14">
        <control shapeId="2071" r:id="rId4" name="ChkStep70">
          <controlPr locked="0" defaultSize="0" autoLine="0" r:id="rId5">
            <anchor moveWithCells="1">
              <from>
                <xdr:col>3</xdr:col>
                <xdr:colOff>571500</xdr:colOff>
                <xdr:row>23</xdr:row>
                <xdr:rowOff>38100</xdr:rowOff>
              </from>
              <to>
                <xdr:col>3</xdr:col>
                <xdr:colOff>2095500</xdr:colOff>
                <xdr:row>25</xdr:row>
                <xdr:rowOff>95250</xdr:rowOff>
              </to>
            </anchor>
          </controlPr>
        </control>
      </mc:Choice>
      <mc:Fallback>
        <control shapeId="2071" r:id="rId4" name="ChkStep70"/>
      </mc:Fallback>
    </mc:AlternateContent>
    <mc:AlternateContent xmlns:mc="http://schemas.openxmlformats.org/markup-compatibility/2006">
      <mc:Choice Requires="x14">
        <control shapeId="2069" r:id="rId6" name="ChkStep65">
          <controlPr locked="0" defaultSize="0" autoLine="0" autoPict="0" r:id="rId7">
            <anchor moveWithCells="1">
              <from>
                <xdr:col>3</xdr:col>
                <xdr:colOff>571500</xdr:colOff>
                <xdr:row>20</xdr:row>
                <xdr:rowOff>104775</xdr:rowOff>
              </from>
              <to>
                <xdr:col>3</xdr:col>
                <xdr:colOff>2095500</xdr:colOff>
                <xdr:row>23</xdr:row>
                <xdr:rowOff>0</xdr:rowOff>
              </to>
            </anchor>
          </controlPr>
        </control>
      </mc:Choice>
      <mc:Fallback>
        <control shapeId="2069" r:id="rId6" name="ChkStep65"/>
      </mc:Fallback>
    </mc:AlternateContent>
    <mc:AlternateContent xmlns:mc="http://schemas.openxmlformats.org/markup-compatibility/2006">
      <mc:Choice Requires="x14">
        <control shapeId="2068" r:id="rId8" name="ChkResilience">
          <controlPr locked="0" defaultSize="0" autoLine="0" autoPict="0" r:id="rId9">
            <anchor moveWithCells="1">
              <from>
                <xdr:col>3</xdr:col>
                <xdr:colOff>581025</xdr:colOff>
                <xdr:row>19</xdr:row>
                <xdr:rowOff>47625</xdr:rowOff>
              </from>
              <to>
                <xdr:col>3</xdr:col>
                <xdr:colOff>2447925</xdr:colOff>
                <xdr:row>20</xdr:row>
                <xdr:rowOff>66675</xdr:rowOff>
              </to>
            </anchor>
          </controlPr>
        </control>
      </mc:Choice>
      <mc:Fallback>
        <control shapeId="2068" r:id="rId8" name="ChkResilience"/>
      </mc:Fallback>
    </mc:AlternateContent>
    <mc:AlternateContent xmlns:mc="http://schemas.openxmlformats.org/markup-compatibility/2006">
      <mc:Choice Requires="x14">
        <control shapeId="2067" r:id="rId10" name="ChkCritIll">
          <controlPr locked="0" defaultSize="0" autoLine="0" autoPict="0" r:id="rId11">
            <anchor moveWithCells="1">
              <from>
                <xdr:col>3</xdr:col>
                <xdr:colOff>581025</xdr:colOff>
                <xdr:row>17</xdr:row>
                <xdr:rowOff>152400</xdr:rowOff>
              </from>
              <to>
                <xdr:col>3</xdr:col>
                <xdr:colOff>2105025</xdr:colOff>
                <xdr:row>19</xdr:row>
                <xdr:rowOff>19050</xdr:rowOff>
              </to>
            </anchor>
          </controlPr>
        </control>
      </mc:Choice>
      <mc:Fallback>
        <control shapeId="2067" r:id="rId10" name="ChkCritIll"/>
      </mc:Fallback>
    </mc:AlternateContent>
    <mc:AlternateContent xmlns:mc="http://schemas.openxmlformats.org/markup-compatibility/2006">
      <mc:Choice Requires="x14">
        <control shapeId="2066" r:id="rId12" name="CmdNext">
          <controlPr defaultSize="0" autoLine="0" r:id="rId13">
            <anchor moveWithCells="1">
              <from>
                <xdr:col>3</xdr:col>
                <xdr:colOff>2781300</xdr:colOff>
                <xdr:row>3</xdr:row>
                <xdr:rowOff>66675</xdr:rowOff>
              </from>
              <to>
                <xdr:col>3</xdr:col>
                <xdr:colOff>3905250</xdr:colOff>
                <xdr:row>5</xdr:row>
                <xdr:rowOff>28575</xdr:rowOff>
              </to>
            </anchor>
          </controlPr>
        </control>
      </mc:Choice>
      <mc:Fallback>
        <control shapeId="2066" r:id="rId12" name="CmdNext"/>
      </mc:Fallback>
    </mc:AlternateContent>
    <mc:AlternateContent xmlns:mc="http://schemas.openxmlformats.org/markup-compatibility/2006">
      <mc:Choice Requires="x14">
        <control shapeId="2060" r:id="rId14" name="ChkDent">
          <controlPr defaultSize="0" autoLine="0" autoPict="0" r:id="rId15">
            <anchor moveWithCells="1">
              <from>
                <xdr:col>3</xdr:col>
                <xdr:colOff>581025</xdr:colOff>
                <xdr:row>16</xdr:row>
                <xdr:rowOff>95250</xdr:rowOff>
              </from>
              <to>
                <xdr:col>3</xdr:col>
                <xdr:colOff>2105025</xdr:colOff>
                <xdr:row>17</xdr:row>
                <xdr:rowOff>123825</xdr:rowOff>
              </to>
            </anchor>
          </controlPr>
        </control>
      </mc:Choice>
      <mc:Fallback>
        <control shapeId="2060" r:id="rId14" name="ChkDent"/>
      </mc:Fallback>
    </mc:AlternateContent>
    <mc:AlternateContent xmlns:mc="http://schemas.openxmlformats.org/markup-compatibility/2006">
      <mc:Choice Requires="x14">
        <control shapeId="2059" r:id="rId16" name="ChkPool">
          <controlPr defaultSize="0" autoLine="0" autoPict="0" r:id="rId17">
            <anchor moveWithCells="1">
              <from>
                <xdr:col>3</xdr:col>
                <xdr:colOff>581025</xdr:colOff>
                <xdr:row>15</xdr:row>
                <xdr:rowOff>57150</xdr:rowOff>
              </from>
              <to>
                <xdr:col>3</xdr:col>
                <xdr:colOff>2105025</xdr:colOff>
                <xdr:row>16</xdr:row>
                <xdr:rowOff>85725</xdr:rowOff>
              </to>
            </anchor>
          </controlPr>
        </control>
      </mc:Choice>
      <mc:Fallback>
        <control shapeId="2059" r:id="rId16" name="ChkPool"/>
      </mc:Fallback>
    </mc:AlternateContent>
    <mc:AlternateContent xmlns:mc="http://schemas.openxmlformats.org/markup-compatibility/2006">
      <mc:Choice Requires="x14">
        <control shapeId="2058" r:id="rId18" name="ChkVision">
          <controlPr defaultSize="0" autoLine="0" autoPict="0" r:id="rId19">
            <anchor moveWithCells="1">
              <from>
                <xdr:col>3</xdr:col>
                <xdr:colOff>581025</xdr:colOff>
                <xdr:row>14</xdr:row>
                <xdr:rowOff>19050</xdr:rowOff>
              </from>
              <to>
                <xdr:col>3</xdr:col>
                <xdr:colOff>2105025</xdr:colOff>
                <xdr:row>15</xdr:row>
                <xdr:rowOff>47625</xdr:rowOff>
              </to>
            </anchor>
          </controlPr>
        </control>
      </mc:Choice>
      <mc:Fallback>
        <control shapeId="2058" r:id="rId18" name="ChkVision"/>
      </mc:Fallback>
    </mc:AlternateContent>
    <mc:AlternateContent xmlns:mc="http://schemas.openxmlformats.org/markup-compatibility/2006">
      <mc:Choice Requires="x14">
        <control shapeId="2057" r:id="rId20" name="ChkDrug">
          <controlPr defaultSize="0" autoLine="0" autoPict="0" r:id="rId21">
            <anchor moveWithCells="1">
              <from>
                <xdr:col>3</xdr:col>
                <xdr:colOff>581025</xdr:colOff>
                <xdr:row>12</xdr:row>
                <xdr:rowOff>142875</xdr:rowOff>
              </from>
              <to>
                <xdr:col>3</xdr:col>
                <xdr:colOff>2105025</xdr:colOff>
                <xdr:row>14</xdr:row>
                <xdr:rowOff>9525</xdr:rowOff>
              </to>
            </anchor>
          </controlPr>
        </control>
      </mc:Choice>
      <mc:Fallback>
        <control shapeId="2057" r:id="rId20" name="ChkDrug"/>
      </mc:Fallback>
    </mc:AlternateContent>
    <mc:AlternateContent xmlns:mc="http://schemas.openxmlformats.org/markup-compatibility/2006">
      <mc:Choice Requires="x14">
        <control shapeId="2056" r:id="rId22" name="ChkHosp">
          <controlPr defaultSize="0" autoLine="0" autoPict="0" r:id="rId23">
            <anchor moveWithCells="1">
              <from>
                <xdr:col>3</xdr:col>
                <xdr:colOff>581025</xdr:colOff>
                <xdr:row>11</xdr:row>
                <xdr:rowOff>104775</xdr:rowOff>
              </from>
              <to>
                <xdr:col>3</xdr:col>
                <xdr:colOff>2105025</xdr:colOff>
                <xdr:row>12</xdr:row>
                <xdr:rowOff>133350</xdr:rowOff>
              </to>
            </anchor>
          </controlPr>
        </control>
      </mc:Choice>
      <mc:Fallback>
        <control shapeId="2056" r:id="rId22" name="ChkHosp"/>
      </mc:Fallback>
    </mc:AlternateContent>
    <mc:AlternateContent xmlns:mc="http://schemas.openxmlformats.org/markup-compatibility/2006">
      <mc:Choice Requires="x14">
        <control shapeId="2055" r:id="rId24" name="ChkEHC">
          <controlPr defaultSize="0" autoLine="0" autoPict="0" r:id="rId25">
            <anchor moveWithCells="1">
              <from>
                <xdr:col>3</xdr:col>
                <xdr:colOff>581025</xdr:colOff>
                <xdr:row>10</xdr:row>
                <xdr:rowOff>66675</xdr:rowOff>
              </from>
              <to>
                <xdr:col>3</xdr:col>
                <xdr:colOff>2105025</xdr:colOff>
                <xdr:row>11</xdr:row>
                <xdr:rowOff>95250</xdr:rowOff>
              </to>
            </anchor>
          </controlPr>
        </control>
      </mc:Choice>
      <mc:Fallback>
        <control shapeId="2055" r:id="rId24" name="ChkEHC"/>
      </mc:Fallback>
    </mc:AlternateContent>
    <mc:AlternateContent xmlns:mc="http://schemas.openxmlformats.org/markup-compatibility/2006">
      <mc:Choice Requires="x14">
        <control shapeId="2054" r:id="rId26" name="ChkSTD">
          <controlPr defaultSize="0" autoLine="0" autoPict="0" r:id="rId27">
            <anchor moveWithCells="1">
              <from>
                <xdr:col>3</xdr:col>
                <xdr:colOff>581025</xdr:colOff>
                <xdr:row>9</xdr:row>
                <xdr:rowOff>28575</xdr:rowOff>
              </from>
              <to>
                <xdr:col>3</xdr:col>
                <xdr:colOff>2105025</xdr:colOff>
                <xdr:row>10</xdr:row>
                <xdr:rowOff>57150</xdr:rowOff>
              </to>
            </anchor>
          </controlPr>
        </control>
      </mc:Choice>
      <mc:Fallback>
        <control shapeId="2054" r:id="rId26" name="ChkSTD"/>
      </mc:Fallback>
    </mc:AlternateContent>
    <mc:AlternateContent xmlns:mc="http://schemas.openxmlformats.org/markup-compatibility/2006">
      <mc:Choice Requires="x14">
        <control shapeId="2053" r:id="rId28" name="ChkLTD">
          <controlPr defaultSize="0" autoLine="0" autoPict="0" r:id="rId29">
            <anchor moveWithCells="1">
              <from>
                <xdr:col>3</xdr:col>
                <xdr:colOff>581025</xdr:colOff>
                <xdr:row>7</xdr:row>
                <xdr:rowOff>152400</xdr:rowOff>
              </from>
              <to>
                <xdr:col>3</xdr:col>
                <xdr:colOff>2105025</xdr:colOff>
                <xdr:row>9</xdr:row>
                <xdr:rowOff>19050</xdr:rowOff>
              </to>
            </anchor>
          </controlPr>
        </control>
      </mc:Choice>
      <mc:Fallback>
        <control shapeId="2053" r:id="rId28" name="ChkLTD"/>
      </mc:Fallback>
    </mc:AlternateContent>
    <mc:AlternateContent xmlns:mc="http://schemas.openxmlformats.org/markup-compatibility/2006">
      <mc:Choice Requires="x14">
        <control shapeId="2052" r:id="rId30" name="ChkADD">
          <controlPr defaultSize="0" autoLine="0" autoPict="0" r:id="rId31">
            <anchor moveWithCells="1">
              <from>
                <xdr:col>3</xdr:col>
                <xdr:colOff>581025</xdr:colOff>
                <xdr:row>6</xdr:row>
                <xdr:rowOff>114300</xdr:rowOff>
              </from>
              <to>
                <xdr:col>3</xdr:col>
                <xdr:colOff>2105025</xdr:colOff>
                <xdr:row>7</xdr:row>
                <xdr:rowOff>142875</xdr:rowOff>
              </to>
            </anchor>
          </controlPr>
        </control>
      </mc:Choice>
      <mc:Fallback>
        <control shapeId="2052" r:id="rId30" name="ChkADD"/>
      </mc:Fallback>
    </mc:AlternateContent>
    <mc:AlternateContent xmlns:mc="http://schemas.openxmlformats.org/markup-compatibility/2006">
      <mc:Choice Requires="x14">
        <control shapeId="2051" r:id="rId32" name="ChkOpt">
          <controlPr defaultSize="0" autoLine="0" r:id="rId33">
            <anchor moveWithCells="1">
              <from>
                <xdr:col>3</xdr:col>
                <xdr:colOff>581025</xdr:colOff>
                <xdr:row>5</xdr:row>
                <xdr:rowOff>76200</xdr:rowOff>
              </from>
              <to>
                <xdr:col>3</xdr:col>
                <xdr:colOff>2105025</xdr:colOff>
                <xdr:row>6</xdr:row>
                <xdr:rowOff>104775</xdr:rowOff>
              </to>
            </anchor>
          </controlPr>
        </control>
      </mc:Choice>
      <mc:Fallback>
        <control shapeId="2051" r:id="rId32" name="ChkOpt"/>
      </mc:Fallback>
    </mc:AlternateContent>
    <mc:AlternateContent xmlns:mc="http://schemas.openxmlformats.org/markup-compatibility/2006">
      <mc:Choice Requires="x14">
        <control shapeId="2050" r:id="rId34" name="ChkDep">
          <controlPr defaultSize="0" autoLine="0" autoPict="0" r:id="rId35">
            <anchor moveWithCells="1">
              <from>
                <xdr:col>3</xdr:col>
                <xdr:colOff>581025</xdr:colOff>
                <xdr:row>4</xdr:row>
                <xdr:rowOff>38100</xdr:rowOff>
              </from>
              <to>
                <xdr:col>3</xdr:col>
                <xdr:colOff>2105025</xdr:colOff>
                <xdr:row>5</xdr:row>
                <xdr:rowOff>66675</xdr:rowOff>
              </to>
            </anchor>
          </controlPr>
        </control>
      </mc:Choice>
      <mc:Fallback>
        <control shapeId="2050" r:id="rId34" name="ChkDep"/>
      </mc:Fallback>
    </mc:AlternateContent>
    <mc:AlternateContent xmlns:mc="http://schemas.openxmlformats.org/markup-compatibility/2006">
      <mc:Choice Requires="x14">
        <control shapeId="2049" r:id="rId36" name="ChkLife">
          <controlPr defaultSize="0" autoLine="0" autoPict="0" r:id="rId37">
            <anchor moveWithCells="1">
              <from>
                <xdr:col>3</xdr:col>
                <xdr:colOff>581025</xdr:colOff>
                <xdr:row>3</xdr:row>
                <xdr:rowOff>0</xdr:rowOff>
              </from>
              <to>
                <xdr:col>3</xdr:col>
                <xdr:colOff>2105025</xdr:colOff>
                <xdr:row>4</xdr:row>
                <xdr:rowOff>28575</xdr:rowOff>
              </to>
            </anchor>
          </controlPr>
        </control>
      </mc:Choice>
      <mc:Fallback>
        <control shapeId="2049" r:id="rId36" name="ChkLif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U134"/>
  <sheetViews>
    <sheetView zoomScale="90" zoomScaleNormal="90" workbookViewId="0">
      <pane ySplit="8" topLeftCell="A9" activePane="bottomLeft" state="frozen"/>
      <selection pane="bottomLeft" activeCell="W16" sqref="W16"/>
    </sheetView>
  </sheetViews>
  <sheetFormatPr defaultColWidth="11.42578125" defaultRowHeight="12.75" x14ac:dyDescent="0.2"/>
  <cols>
    <col min="1" max="1" width="22.85546875" style="7" customWidth="1"/>
    <col min="2" max="2" width="35.5703125" style="7" bestFit="1" customWidth="1"/>
    <col min="3" max="3" width="10.140625" style="7" customWidth="1"/>
    <col min="4" max="4" width="9.42578125" style="15" customWidth="1"/>
    <col min="5" max="6" width="7.5703125" style="15" customWidth="1"/>
    <col min="7" max="7" width="6.28515625" style="7" customWidth="1"/>
    <col min="8" max="8" width="9.28515625" style="15" customWidth="1"/>
    <col min="9" max="10" width="11.42578125" style="7" customWidth="1"/>
    <col min="11" max="11" width="12.140625" style="15" customWidth="1"/>
    <col min="12" max="12" width="11.5703125" style="15" customWidth="1"/>
    <col min="13" max="13" width="8.85546875" style="15" customWidth="1"/>
    <col min="14" max="14" width="14.140625" style="15" customWidth="1"/>
    <col min="15" max="15" width="11" style="15" customWidth="1"/>
    <col min="16" max="16" width="10.85546875" style="15" customWidth="1"/>
    <col min="17" max="17" width="8.7109375" style="15" customWidth="1"/>
    <col min="18" max="18" width="15" style="15" customWidth="1"/>
    <col min="19" max="19" width="10.5703125" style="15" customWidth="1"/>
    <col min="20" max="20" width="11" style="15" customWidth="1"/>
    <col min="21" max="21" width="9.140625" style="15" customWidth="1"/>
    <col min="22" max="16384" width="11.42578125" style="7"/>
  </cols>
  <sheetData>
    <row r="1" spans="2:21" x14ac:dyDescent="0.2">
      <c r="B1" s="8"/>
      <c r="C1" s="9"/>
      <c r="D1" s="10"/>
      <c r="E1" s="10"/>
      <c r="F1" s="10"/>
      <c r="G1" s="9"/>
      <c r="H1" s="10"/>
      <c r="I1" s="11"/>
      <c r="J1" s="11"/>
      <c r="K1" s="12"/>
      <c r="L1" s="12"/>
      <c r="M1" s="12"/>
      <c r="N1" s="13"/>
      <c r="O1" s="12"/>
      <c r="P1" s="12"/>
      <c r="Q1" s="12"/>
      <c r="R1" s="13"/>
      <c r="S1" s="14"/>
    </row>
    <row r="2" spans="2:21" x14ac:dyDescent="0.2">
      <c r="B2" s="8"/>
      <c r="C2" s="9"/>
      <c r="D2" s="10"/>
      <c r="E2" s="10"/>
      <c r="F2" s="10"/>
      <c r="G2" s="9"/>
      <c r="H2" s="10"/>
      <c r="I2" s="11"/>
      <c r="J2" s="11"/>
      <c r="K2" s="12"/>
      <c r="L2" s="12"/>
      <c r="M2" s="12"/>
      <c r="N2" s="13"/>
      <c r="O2" s="12"/>
      <c r="P2" s="12"/>
      <c r="Q2" s="12"/>
      <c r="R2" s="13"/>
      <c r="S2" s="14"/>
    </row>
    <row r="3" spans="2:21" ht="24" customHeight="1" x14ac:dyDescent="0.3">
      <c r="B3" s="115" t="s">
        <v>42</v>
      </c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</row>
    <row r="4" spans="2:21" ht="15" x14ac:dyDescent="0.25">
      <c r="B4" s="117" t="s">
        <v>43</v>
      </c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</row>
    <row r="5" spans="2:21" ht="15" x14ac:dyDescent="0.25">
      <c r="B5" s="118" t="s">
        <v>103</v>
      </c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</row>
    <row r="6" spans="2:21" ht="13.5" thickBot="1" x14ac:dyDescent="0.25">
      <c r="B6" s="16"/>
      <c r="C6" s="17"/>
      <c r="D6" s="10"/>
      <c r="E6" s="10"/>
      <c r="F6" s="10"/>
      <c r="G6" s="18"/>
      <c r="H6" s="10"/>
      <c r="I6" s="19"/>
      <c r="J6" s="19"/>
      <c r="K6" s="12"/>
      <c r="L6" s="12"/>
      <c r="M6" s="12"/>
      <c r="N6" s="13"/>
      <c r="O6" s="12"/>
      <c r="P6" s="12"/>
      <c r="Q6" s="12"/>
      <c r="R6" s="20"/>
      <c r="S6" s="21"/>
    </row>
    <row r="7" spans="2:21" ht="23.25" customHeight="1" x14ac:dyDescent="0.2">
      <c r="B7" s="18"/>
      <c r="C7" s="18"/>
      <c r="D7" s="10"/>
      <c r="E7" s="10"/>
      <c r="F7" s="10"/>
      <c r="G7" s="18"/>
      <c r="H7" s="10"/>
      <c r="I7" s="22"/>
      <c r="J7" s="22"/>
      <c r="K7" s="119" t="s">
        <v>44</v>
      </c>
      <c r="L7" s="120"/>
      <c r="M7" s="120"/>
      <c r="N7" s="121"/>
      <c r="O7" s="122" t="s">
        <v>45</v>
      </c>
      <c r="P7" s="123"/>
      <c r="Q7" s="123"/>
      <c r="R7" s="124"/>
      <c r="S7" s="21"/>
    </row>
    <row r="8" spans="2:21" ht="38.25" x14ac:dyDescent="0.2">
      <c r="B8" s="108" t="s">
        <v>46</v>
      </c>
      <c r="C8" s="108" t="s">
        <v>47</v>
      </c>
      <c r="D8" s="108" t="s">
        <v>48</v>
      </c>
      <c r="E8" s="108" t="s">
        <v>49</v>
      </c>
      <c r="F8" s="108" t="s">
        <v>50</v>
      </c>
      <c r="G8" s="108" t="s">
        <v>51</v>
      </c>
      <c r="H8" s="108"/>
      <c r="I8" s="108" t="s">
        <v>52</v>
      </c>
      <c r="J8" s="108" t="s">
        <v>53</v>
      </c>
      <c r="K8" s="108" t="s">
        <v>54</v>
      </c>
      <c r="L8" s="108" t="s">
        <v>55</v>
      </c>
      <c r="M8" s="108" t="s">
        <v>56</v>
      </c>
      <c r="N8" s="108" t="s">
        <v>57</v>
      </c>
      <c r="O8" s="108" t="s">
        <v>54</v>
      </c>
      <c r="P8" s="108" t="s">
        <v>55</v>
      </c>
      <c r="Q8" s="108" t="s">
        <v>56</v>
      </c>
      <c r="R8" s="108" t="s">
        <v>57</v>
      </c>
      <c r="S8" s="108" t="s">
        <v>58</v>
      </c>
      <c r="T8" s="108" t="s">
        <v>59</v>
      </c>
      <c r="U8" s="108" t="s">
        <v>60</v>
      </c>
    </row>
    <row r="9" spans="2:21" x14ac:dyDescent="0.2">
      <c r="B9" s="18"/>
      <c r="C9" s="18"/>
      <c r="D9" s="10"/>
      <c r="E9" s="10"/>
      <c r="F9" s="10"/>
      <c r="G9" s="18"/>
      <c r="H9" s="10"/>
      <c r="I9" s="23"/>
      <c r="J9" s="23"/>
      <c r="K9" s="12"/>
      <c r="L9" s="12"/>
      <c r="M9" s="12"/>
      <c r="N9" s="13"/>
      <c r="O9" s="12"/>
      <c r="P9" s="12"/>
      <c r="Q9" s="12"/>
      <c r="R9" s="13"/>
      <c r="S9" s="14"/>
    </row>
    <row r="10" spans="2:21" x14ac:dyDescent="0.2">
      <c r="B10" s="24" t="s">
        <v>61</v>
      </c>
      <c r="C10" s="18"/>
      <c r="D10" s="10"/>
      <c r="E10" s="10"/>
      <c r="F10" s="10"/>
      <c r="G10" s="18"/>
      <c r="H10" s="10"/>
      <c r="I10" s="23"/>
      <c r="J10" s="23"/>
      <c r="K10" s="12"/>
      <c r="L10" s="12"/>
      <c r="M10" s="12"/>
      <c r="N10" s="13"/>
      <c r="O10" s="12"/>
      <c r="P10" s="12"/>
      <c r="Q10" s="12"/>
      <c r="R10" s="13"/>
      <c r="S10" s="14"/>
    </row>
    <row r="11" spans="2:21" x14ac:dyDescent="0.2">
      <c r="B11" s="25" t="s">
        <v>62</v>
      </c>
      <c r="C11" s="26">
        <v>0</v>
      </c>
      <c r="D11" s="27" t="s">
        <v>63</v>
      </c>
      <c r="E11" s="27" t="s">
        <v>63</v>
      </c>
      <c r="F11" s="27" t="s">
        <v>63</v>
      </c>
      <c r="G11" s="28" t="s">
        <v>64</v>
      </c>
      <c r="H11" s="29">
        <v>1000</v>
      </c>
      <c r="I11" s="30">
        <v>0</v>
      </c>
      <c r="J11" s="30">
        <v>0</v>
      </c>
      <c r="K11" s="31">
        <v>0</v>
      </c>
      <c r="L11" s="31">
        <v>0</v>
      </c>
      <c r="M11" s="32">
        <f>K11+L11</f>
        <v>0</v>
      </c>
      <c r="N11" s="33">
        <f>ROUND((J11*M11)/H11,2)</f>
        <v>0</v>
      </c>
      <c r="O11" s="32">
        <f>ROUND(K11*(1+S11),3)</f>
        <v>0</v>
      </c>
      <c r="P11" s="32">
        <f>ROUND(K11*T11,3)</f>
        <v>0</v>
      </c>
      <c r="Q11" s="34">
        <f>O11+P11</f>
        <v>0</v>
      </c>
      <c r="R11" s="33">
        <f>ROUND(J11*Q11/H11,2)</f>
        <v>0</v>
      </c>
      <c r="S11" s="35">
        <v>0</v>
      </c>
      <c r="T11" s="35">
        <v>0</v>
      </c>
      <c r="U11" s="36" t="str">
        <f>IF(M11=0,"N/A",Q11/M11-1)</f>
        <v>N/A</v>
      </c>
    </row>
    <row r="12" spans="2:21" x14ac:dyDescent="0.2">
      <c r="B12" s="37"/>
      <c r="C12" s="38"/>
      <c r="D12" s="38"/>
      <c r="E12" s="38"/>
      <c r="F12" s="38"/>
      <c r="G12" s="18"/>
      <c r="H12" s="39"/>
      <c r="I12" s="40"/>
      <c r="J12" s="40"/>
      <c r="K12" s="41"/>
      <c r="L12" s="41"/>
      <c r="M12" s="32"/>
      <c r="N12" s="33"/>
      <c r="O12" s="32"/>
      <c r="P12" s="32"/>
      <c r="Q12" s="34"/>
      <c r="R12" s="33"/>
      <c r="S12" s="42"/>
      <c r="T12" s="42"/>
      <c r="U12" s="36"/>
    </row>
    <row r="13" spans="2:21" x14ac:dyDescent="0.2">
      <c r="B13" s="37"/>
      <c r="C13" s="38"/>
      <c r="D13" s="38"/>
      <c r="E13" s="38"/>
      <c r="F13" s="38"/>
      <c r="G13" s="43"/>
      <c r="H13" s="10"/>
      <c r="I13" s="40"/>
      <c r="J13" s="40"/>
      <c r="K13" s="41"/>
      <c r="L13" s="41"/>
      <c r="M13" s="32"/>
      <c r="N13" s="44"/>
      <c r="O13" s="32"/>
      <c r="P13" s="32"/>
      <c r="Q13" s="34"/>
      <c r="R13" s="44"/>
      <c r="S13" s="45"/>
    </row>
    <row r="14" spans="2:21" x14ac:dyDescent="0.2">
      <c r="B14" s="28" t="str">
        <f>"Total " &amp; B10</f>
        <v>Total Basic Life</v>
      </c>
      <c r="C14" s="46"/>
      <c r="D14" s="47"/>
      <c r="E14" s="48"/>
      <c r="F14" s="48"/>
      <c r="G14" s="17"/>
      <c r="H14" s="20"/>
      <c r="I14" s="49">
        <f>SUM(I11:I13)</f>
        <v>0</v>
      </c>
      <c r="J14" s="50">
        <f>SUM(J11:J13)</f>
        <v>0</v>
      </c>
      <c r="K14" s="51"/>
      <c r="L14" s="51"/>
      <c r="M14" s="51"/>
      <c r="N14" s="33">
        <f>SUM(N11:N13)</f>
        <v>0</v>
      </c>
      <c r="O14" s="51"/>
      <c r="P14" s="51"/>
      <c r="Q14" s="51"/>
      <c r="R14" s="33">
        <f>SUM(R11:R13)</f>
        <v>0</v>
      </c>
      <c r="S14" s="42"/>
      <c r="T14" s="42"/>
      <c r="U14" s="36" t="str">
        <f>IF(N14=0,"N/A",R14/N14-1)</f>
        <v>N/A</v>
      </c>
    </row>
    <row r="15" spans="2:21" x14ac:dyDescent="0.2">
      <c r="B15" s="18"/>
      <c r="C15" s="46"/>
      <c r="D15" s="47"/>
      <c r="E15" s="48"/>
      <c r="F15" s="48"/>
      <c r="G15" s="17"/>
      <c r="H15" s="20"/>
      <c r="I15" s="52"/>
      <c r="J15" s="52"/>
      <c r="K15" s="51"/>
      <c r="L15" s="51"/>
      <c r="M15" s="51"/>
      <c r="N15" s="33"/>
      <c r="O15" s="51"/>
      <c r="P15" s="51"/>
      <c r="Q15" s="51"/>
      <c r="R15" s="33"/>
      <c r="S15" s="42"/>
      <c r="T15" s="42"/>
      <c r="U15" s="36"/>
    </row>
    <row r="16" spans="2:21" x14ac:dyDescent="0.2">
      <c r="B16" s="24" t="s">
        <v>65</v>
      </c>
      <c r="C16" s="46"/>
      <c r="D16" s="47"/>
      <c r="E16" s="48"/>
      <c r="F16" s="48"/>
      <c r="G16" s="17"/>
      <c r="H16" s="20"/>
      <c r="I16" s="52"/>
      <c r="J16" s="52"/>
      <c r="K16" s="51"/>
      <c r="L16" s="51"/>
      <c r="M16" s="51"/>
      <c r="N16" s="53"/>
      <c r="O16" s="51"/>
      <c r="P16" s="51"/>
      <c r="Q16" s="51"/>
      <c r="R16" s="53"/>
      <c r="S16" s="36"/>
    </row>
    <row r="17" spans="2:21" x14ac:dyDescent="0.2">
      <c r="B17" s="54" t="s">
        <v>66</v>
      </c>
      <c r="C17" s="26">
        <v>0</v>
      </c>
      <c r="D17" s="27" t="s">
        <v>63</v>
      </c>
      <c r="E17" s="27" t="s">
        <v>63</v>
      </c>
      <c r="F17" s="27" t="s">
        <v>63</v>
      </c>
      <c r="G17" s="28" t="s">
        <v>64</v>
      </c>
      <c r="H17" s="27" t="s">
        <v>67</v>
      </c>
      <c r="I17" s="55">
        <v>0</v>
      </c>
      <c r="J17" s="55"/>
      <c r="K17" s="31">
        <v>0</v>
      </c>
      <c r="L17" s="31">
        <v>0</v>
      </c>
      <c r="M17" s="32">
        <f>K17+L17</f>
        <v>0</v>
      </c>
      <c r="N17" s="33">
        <f>ROUND(M17*I17,2)</f>
        <v>0</v>
      </c>
      <c r="O17" s="32">
        <f>ROUND(K17*(1+S17),3)</f>
        <v>0</v>
      </c>
      <c r="P17" s="32">
        <f>ROUND(K17*T17,3)</f>
        <v>0</v>
      </c>
      <c r="Q17" s="34">
        <f>O17+P17</f>
        <v>0</v>
      </c>
      <c r="R17" s="33">
        <f>ROUND(Q17*I17,2)</f>
        <v>0</v>
      </c>
      <c r="S17" s="35">
        <v>0</v>
      </c>
      <c r="T17" s="35">
        <v>0</v>
      </c>
      <c r="U17" s="36" t="str">
        <f>IF(M17=0,"N/A",Q17/M17-1)</f>
        <v>N/A</v>
      </c>
    </row>
    <row r="18" spans="2:21" x14ac:dyDescent="0.2">
      <c r="B18" s="10"/>
      <c r="C18" s="47"/>
      <c r="D18" s="47"/>
      <c r="E18" s="48"/>
      <c r="F18" s="48"/>
      <c r="G18" s="18"/>
      <c r="H18" s="10"/>
      <c r="I18" s="56"/>
      <c r="J18" s="56"/>
      <c r="K18" s="57"/>
      <c r="L18" s="41"/>
      <c r="M18" s="32"/>
      <c r="N18" s="33"/>
      <c r="O18" s="58"/>
      <c r="P18" s="32"/>
      <c r="Q18" s="34"/>
      <c r="R18" s="33"/>
      <c r="S18" s="42"/>
      <c r="T18" s="42"/>
      <c r="U18" s="36"/>
    </row>
    <row r="19" spans="2:21" x14ac:dyDescent="0.2">
      <c r="B19" s="10"/>
      <c r="C19" s="47"/>
      <c r="D19" s="47"/>
      <c r="E19" s="48"/>
      <c r="F19" s="48"/>
      <c r="G19" s="18"/>
      <c r="H19" s="10"/>
      <c r="I19" s="56"/>
      <c r="J19" s="56"/>
      <c r="K19" s="57"/>
      <c r="L19" s="41"/>
      <c r="M19" s="32"/>
      <c r="N19" s="44"/>
      <c r="O19" s="58"/>
      <c r="P19" s="32"/>
      <c r="Q19" s="34"/>
      <c r="R19" s="44"/>
      <c r="S19" s="36"/>
    </row>
    <row r="20" spans="2:21" x14ac:dyDescent="0.2">
      <c r="B20" s="28" t="str">
        <f>"Total " &amp; B16</f>
        <v>Total Dependent Life</v>
      </c>
      <c r="C20" s="46"/>
      <c r="D20" s="47"/>
      <c r="E20" s="48"/>
      <c r="F20" s="48"/>
      <c r="G20" s="17"/>
      <c r="H20" s="20"/>
      <c r="I20" s="59">
        <f>SUM(I17:I19)</f>
        <v>0</v>
      </c>
      <c r="J20" s="50"/>
      <c r="K20" s="51"/>
      <c r="L20" s="51"/>
      <c r="M20" s="51"/>
      <c r="N20" s="33">
        <f>SUM(N17:N19)</f>
        <v>0</v>
      </c>
      <c r="O20" s="51"/>
      <c r="P20" s="51"/>
      <c r="Q20" s="51"/>
      <c r="R20" s="33">
        <f>SUM(R17:R19)</f>
        <v>0</v>
      </c>
      <c r="S20" s="42"/>
      <c r="T20" s="42"/>
      <c r="U20" s="36" t="str">
        <f>IF(N20=0,"N/A",R20/N20-1)</f>
        <v>N/A</v>
      </c>
    </row>
    <row r="21" spans="2:21" x14ac:dyDescent="0.2">
      <c r="B21" s="17"/>
      <c r="C21" s="46"/>
      <c r="D21" s="47"/>
      <c r="E21" s="48"/>
      <c r="F21" s="48"/>
      <c r="G21" s="17"/>
      <c r="H21" s="20"/>
      <c r="I21" s="52"/>
      <c r="J21" s="52"/>
      <c r="K21" s="51"/>
      <c r="L21" s="51"/>
      <c r="M21" s="51"/>
      <c r="N21" s="33"/>
      <c r="O21" s="51"/>
      <c r="P21" s="51"/>
      <c r="Q21" s="51"/>
      <c r="R21" s="33"/>
      <c r="S21" s="42"/>
    </row>
    <row r="22" spans="2:21" x14ac:dyDescent="0.2">
      <c r="B22" s="24" t="s">
        <v>68</v>
      </c>
      <c r="C22" s="60"/>
      <c r="D22" s="47"/>
      <c r="E22" s="47"/>
      <c r="F22" s="47"/>
      <c r="G22" s="18"/>
      <c r="H22" s="10"/>
      <c r="I22" s="23"/>
      <c r="J22" s="23"/>
      <c r="K22" s="12"/>
      <c r="L22" s="12"/>
      <c r="M22" s="12"/>
      <c r="N22" s="13"/>
      <c r="O22" s="12"/>
      <c r="P22" s="12"/>
      <c r="Q22" s="12"/>
      <c r="R22" s="13"/>
      <c r="S22" s="14"/>
    </row>
    <row r="23" spans="2:21" x14ac:dyDescent="0.2">
      <c r="B23" s="25" t="s">
        <v>69</v>
      </c>
      <c r="C23" s="26">
        <v>0</v>
      </c>
      <c r="D23" s="26">
        <v>0</v>
      </c>
      <c r="E23" s="27" t="s">
        <v>63</v>
      </c>
      <c r="F23" s="27" t="s">
        <v>63</v>
      </c>
      <c r="G23" s="28" t="s">
        <v>64</v>
      </c>
      <c r="H23" s="29">
        <v>1000</v>
      </c>
      <c r="I23" s="30">
        <v>0</v>
      </c>
      <c r="J23" s="30">
        <v>0</v>
      </c>
      <c r="K23" s="31">
        <v>0</v>
      </c>
      <c r="L23" s="31">
        <v>0</v>
      </c>
      <c r="M23" s="32">
        <f>K23+L23</f>
        <v>0</v>
      </c>
      <c r="N23" s="33">
        <f>ROUND((J23*M23)/H23,2)</f>
        <v>0</v>
      </c>
      <c r="O23" s="32">
        <f>ROUND(K23*(1+S23),3)</f>
        <v>0</v>
      </c>
      <c r="P23" s="32">
        <f>ROUND(K23*T23,3)</f>
        <v>0</v>
      </c>
      <c r="Q23" s="34">
        <f>O23+P23</f>
        <v>0</v>
      </c>
      <c r="R23" s="33">
        <f>ROUND(J23*Q23/H23,2)</f>
        <v>0</v>
      </c>
      <c r="S23" s="35">
        <v>0</v>
      </c>
      <c r="T23" s="35">
        <v>0</v>
      </c>
      <c r="U23" s="36" t="str">
        <f>IF(M23=0,"N/A",Q23/M23-1)</f>
        <v>N/A</v>
      </c>
    </row>
    <row r="24" spans="2:21" x14ac:dyDescent="0.2">
      <c r="B24" s="37"/>
      <c r="C24" s="38"/>
      <c r="D24" s="38"/>
      <c r="E24" s="38"/>
      <c r="F24" s="38"/>
      <c r="G24" s="18"/>
      <c r="H24" s="10"/>
      <c r="I24" s="40"/>
      <c r="J24" s="40"/>
      <c r="K24" s="41"/>
      <c r="L24" s="41"/>
      <c r="M24" s="32"/>
      <c r="N24" s="61"/>
      <c r="O24" s="32"/>
      <c r="P24" s="32"/>
      <c r="Q24" s="34"/>
      <c r="R24" s="61"/>
      <c r="S24" s="42"/>
      <c r="T24" s="42"/>
      <c r="U24" s="36"/>
    </row>
    <row r="25" spans="2:21" x14ac:dyDescent="0.2">
      <c r="B25" s="37"/>
      <c r="C25" s="38"/>
      <c r="D25" s="38"/>
      <c r="E25" s="38"/>
      <c r="F25" s="38"/>
      <c r="G25" s="43"/>
      <c r="H25" s="10"/>
      <c r="I25" s="40"/>
      <c r="J25" s="40"/>
      <c r="K25" s="41"/>
      <c r="L25" s="41"/>
      <c r="M25" s="32"/>
      <c r="N25" s="44"/>
      <c r="O25" s="32"/>
      <c r="P25" s="32"/>
      <c r="Q25" s="32"/>
      <c r="R25" s="44"/>
      <c r="S25" s="45"/>
    </row>
    <row r="26" spans="2:21" x14ac:dyDescent="0.2">
      <c r="B26" s="28" t="str">
        <f>"Total " &amp; B22</f>
        <v>Total Optional Life</v>
      </c>
      <c r="C26" s="46"/>
      <c r="D26" s="47"/>
      <c r="E26" s="48"/>
      <c r="F26" s="48"/>
      <c r="G26" s="17"/>
      <c r="H26" s="20"/>
      <c r="I26" s="49">
        <f>SUM(I23:I25)</f>
        <v>0</v>
      </c>
      <c r="J26" s="50">
        <f>SUM(J23:J25)</f>
        <v>0</v>
      </c>
      <c r="K26" s="51"/>
      <c r="L26" s="51"/>
      <c r="M26" s="51"/>
      <c r="N26" s="33">
        <f>SUM(N23:N25)</f>
        <v>0</v>
      </c>
      <c r="O26" s="51"/>
      <c r="P26" s="51"/>
      <c r="Q26" s="51"/>
      <c r="R26" s="33">
        <f>SUM(R23:R25)</f>
        <v>0</v>
      </c>
      <c r="S26" s="42"/>
      <c r="T26" s="42"/>
      <c r="U26" s="36" t="str">
        <f>IF(N26=0,"N/A",R26/N26-1)</f>
        <v>N/A</v>
      </c>
    </row>
    <row r="27" spans="2:21" x14ac:dyDescent="0.2">
      <c r="B27" s="18"/>
      <c r="C27" s="46"/>
      <c r="D27" s="47"/>
      <c r="E27" s="48"/>
      <c r="F27" s="48"/>
      <c r="G27" s="17"/>
      <c r="H27" s="20"/>
      <c r="I27" s="52"/>
      <c r="J27" s="52"/>
      <c r="K27" s="51"/>
      <c r="L27" s="51"/>
      <c r="M27" s="51"/>
      <c r="N27" s="33"/>
      <c r="O27" s="51"/>
      <c r="P27" s="51"/>
      <c r="Q27" s="51"/>
      <c r="R27" s="33"/>
      <c r="S27" s="42"/>
      <c r="T27" s="42"/>
      <c r="U27" s="36"/>
    </row>
    <row r="28" spans="2:21" x14ac:dyDescent="0.2">
      <c r="B28" s="24" t="s">
        <v>70</v>
      </c>
      <c r="C28" s="18"/>
      <c r="D28" s="10"/>
      <c r="E28" s="10"/>
      <c r="F28" s="10"/>
      <c r="G28" s="18"/>
      <c r="H28" s="10"/>
      <c r="I28" s="23"/>
      <c r="J28" s="23"/>
      <c r="K28" s="12"/>
      <c r="L28" s="12"/>
      <c r="M28" s="12"/>
      <c r="N28" s="13"/>
      <c r="O28" s="12"/>
      <c r="P28" s="12"/>
      <c r="Q28" s="12"/>
      <c r="R28" s="13"/>
      <c r="S28" s="14"/>
    </row>
    <row r="29" spans="2:21" x14ac:dyDescent="0.2">
      <c r="B29" s="25" t="s">
        <v>8</v>
      </c>
      <c r="C29" s="26">
        <v>0</v>
      </c>
      <c r="D29" s="26">
        <v>0</v>
      </c>
      <c r="E29" s="27" t="s">
        <v>63</v>
      </c>
      <c r="F29" s="27" t="s">
        <v>63</v>
      </c>
      <c r="G29" s="28" t="s">
        <v>64</v>
      </c>
      <c r="H29" s="29">
        <v>1000</v>
      </c>
      <c r="I29" s="30">
        <v>0</v>
      </c>
      <c r="J29" s="30">
        <v>0</v>
      </c>
      <c r="K29" s="31">
        <v>0</v>
      </c>
      <c r="L29" s="31">
        <v>0</v>
      </c>
      <c r="M29" s="32">
        <f>K29+L29</f>
        <v>0</v>
      </c>
      <c r="N29" s="33">
        <f>ROUND((J29*M29)/H29,2)</f>
        <v>0</v>
      </c>
      <c r="O29" s="32">
        <f>ROUND(K29*(1+S29),3)</f>
        <v>0</v>
      </c>
      <c r="P29" s="32">
        <f>ROUND(K29*T29,3)</f>
        <v>0</v>
      </c>
      <c r="Q29" s="34">
        <f>O29+P29</f>
        <v>0</v>
      </c>
      <c r="R29" s="33">
        <f>ROUND(J29*Q29/H29,2)</f>
        <v>0</v>
      </c>
      <c r="S29" s="35">
        <v>0</v>
      </c>
      <c r="T29" s="35">
        <v>0</v>
      </c>
      <c r="U29" s="36" t="str">
        <f>IF(M29=0,"N/A",Q29/M29-1)</f>
        <v>N/A</v>
      </c>
    </row>
    <row r="30" spans="2:21" x14ac:dyDescent="0.2">
      <c r="B30" s="37"/>
      <c r="C30" s="38"/>
      <c r="D30" s="38"/>
      <c r="E30" s="38"/>
      <c r="F30" s="38"/>
      <c r="G30" s="18"/>
      <c r="H30" s="39"/>
      <c r="I30" s="40"/>
      <c r="J30" s="40"/>
      <c r="K30" s="41"/>
      <c r="L30" s="41"/>
      <c r="M30" s="32"/>
      <c r="N30" s="33"/>
      <c r="O30" s="32"/>
      <c r="P30" s="32"/>
      <c r="Q30" s="34"/>
      <c r="R30" s="33"/>
      <c r="S30" s="42"/>
      <c r="T30" s="42"/>
      <c r="U30" s="36"/>
    </row>
    <row r="31" spans="2:21" x14ac:dyDescent="0.2">
      <c r="B31" s="37"/>
      <c r="C31" s="38"/>
      <c r="D31" s="38"/>
      <c r="E31" s="38"/>
      <c r="F31" s="38"/>
      <c r="G31" s="43"/>
      <c r="H31" s="10"/>
      <c r="I31" s="40"/>
      <c r="J31" s="40"/>
      <c r="K31" s="41"/>
      <c r="L31" s="41"/>
      <c r="M31" s="32"/>
      <c r="N31" s="44"/>
      <c r="O31" s="32"/>
      <c r="P31" s="32"/>
      <c r="Q31" s="34"/>
      <c r="R31" s="44"/>
      <c r="S31" s="45"/>
    </row>
    <row r="32" spans="2:21" x14ac:dyDescent="0.2">
      <c r="B32" s="28" t="str">
        <f>"Total " &amp; B28</f>
        <v>Total Accidental Death &amp; Dismemberment</v>
      </c>
      <c r="C32" s="46"/>
      <c r="D32" s="47"/>
      <c r="E32" s="48"/>
      <c r="F32" s="48"/>
      <c r="G32" s="17"/>
      <c r="H32" s="20"/>
      <c r="I32" s="49">
        <f>SUM(I29:I31)</f>
        <v>0</v>
      </c>
      <c r="J32" s="50">
        <f>SUM(J29:J31)</f>
        <v>0</v>
      </c>
      <c r="K32" s="51"/>
      <c r="L32" s="51"/>
      <c r="M32" s="51"/>
      <c r="N32" s="33">
        <f>SUM(N29:N31)</f>
        <v>0</v>
      </c>
      <c r="O32" s="51"/>
      <c r="P32" s="51"/>
      <c r="Q32" s="51"/>
      <c r="R32" s="33">
        <f>SUM(R29:R31)</f>
        <v>0</v>
      </c>
      <c r="S32" s="42"/>
      <c r="T32" s="42"/>
      <c r="U32" s="36" t="str">
        <f>IF(N32=0,"N/A",R32/N32-1)</f>
        <v>N/A</v>
      </c>
    </row>
    <row r="33" spans="2:21" x14ac:dyDescent="0.2">
      <c r="B33" s="17"/>
      <c r="C33" s="46"/>
      <c r="D33" s="47"/>
      <c r="E33" s="48"/>
      <c r="F33" s="48"/>
      <c r="G33" s="17"/>
      <c r="H33" s="20"/>
      <c r="I33" s="52"/>
      <c r="J33" s="52"/>
      <c r="K33" s="51"/>
      <c r="L33" s="51"/>
      <c r="M33" s="51"/>
      <c r="N33" s="53"/>
      <c r="O33" s="51"/>
      <c r="P33" s="51"/>
      <c r="Q33" s="51"/>
      <c r="R33" s="53"/>
      <c r="S33" s="36"/>
    </row>
    <row r="34" spans="2:21" x14ac:dyDescent="0.2">
      <c r="B34" s="24" t="s">
        <v>71</v>
      </c>
      <c r="C34" s="60"/>
      <c r="D34" s="47"/>
      <c r="E34" s="47"/>
      <c r="F34" s="47"/>
      <c r="G34" s="18"/>
      <c r="H34" s="10"/>
      <c r="I34" s="23"/>
      <c r="J34" s="23"/>
      <c r="K34" s="12"/>
      <c r="L34" s="12"/>
      <c r="M34" s="12"/>
      <c r="N34" s="13"/>
      <c r="O34" s="12"/>
      <c r="P34" s="12"/>
      <c r="Q34" s="12"/>
      <c r="R34" s="13"/>
      <c r="S34" s="14"/>
    </row>
    <row r="35" spans="2:21" x14ac:dyDescent="0.2">
      <c r="B35" s="25" t="s">
        <v>72</v>
      </c>
      <c r="C35" s="26">
        <v>0</v>
      </c>
      <c r="D35" s="26">
        <v>0</v>
      </c>
      <c r="E35" s="27" t="s">
        <v>63</v>
      </c>
      <c r="F35" s="27" t="s">
        <v>63</v>
      </c>
      <c r="G35" s="28" t="s">
        <v>64</v>
      </c>
      <c r="H35" s="29">
        <v>100</v>
      </c>
      <c r="I35" s="62">
        <v>0</v>
      </c>
      <c r="J35" s="62">
        <v>0</v>
      </c>
      <c r="K35" s="63">
        <v>0</v>
      </c>
      <c r="L35" s="63">
        <v>0</v>
      </c>
      <c r="M35" s="32">
        <f>K35+L35</f>
        <v>0</v>
      </c>
      <c r="N35" s="61">
        <f>ROUND(IF(H35="% of Salary",J35*M35/100,J35*M35/H35),2)</f>
        <v>0</v>
      </c>
      <c r="O35" s="32">
        <f>ROUND(K35*(1+S35),3)</f>
        <v>0</v>
      </c>
      <c r="P35" s="32">
        <f>ROUND(K35*T35,3)</f>
        <v>0</v>
      </c>
      <c r="Q35" s="34">
        <f>O35+P35</f>
        <v>0</v>
      </c>
      <c r="R35" s="61">
        <f>ROUND(IF(H35="% of Salary",J35*Q35/100,J35*Q35/H35),2)</f>
        <v>0</v>
      </c>
      <c r="S35" s="35">
        <v>0</v>
      </c>
      <c r="T35" s="35">
        <v>0</v>
      </c>
      <c r="U35" s="36" t="str">
        <f>IF(M35=0,"N/A",Q35/M35-1)</f>
        <v>N/A</v>
      </c>
    </row>
    <row r="36" spans="2:21" x14ac:dyDescent="0.2">
      <c r="B36" s="37"/>
      <c r="C36" s="38"/>
      <c r="D36" s="38"/>
      <c r="E36" s="38"/>
      <c r="F36" s="38"/>
      <c r="G36" s="18"/>
      <c r="H36" s="64"/>
      <c r="I36" s="65"/>
      <c r="J36" s="65"/>
      <c r="K36" s="66"/>
      <c r="L36" s="66"/>
      <c r="M36" s="32"/>
      <c r="N36" s="61"/>
      <c r="O36" s="32"/>
      <c r="P36" s="32"/>
      <c r="Q36" s="34"/>
      <c r="R36" s="61"/>
      <c r="S36" s="42"/>
      <c r="T36" s="42"/>
      <c r="U36" s="36"/>
    </row>
    <row r="37" spans="2:21" x14ac:dyDescent="0.2">
      <c r="B37" s="37"/>
      <c r="C37" s="38"/>
      <c r="D37" s="38"/>
      <c r="E37" s="38"/>
      <c r="F37" s="38"/>
      <c r="G37" s="18"/>
      <c r="H37" s="64"/>
      <c r="I37" s="65"/>
      <c r="J37" s="65"/>
      <c r="K37" s="66"/>
      <c r="L37" s="66"/>
      <c r="M37" s="32"/>
      <c r="N37" s="44"/>
      <c r="O37" s="32"/>
      <c r="P37" s="32"/>
      <c r="Q37" s="34"/>
      <c r="R37" s="44"/>
      <c r="S37" s="45"/>
    </row>
    <row r="38" spans="2:21" x14ac:dyDescent="0.2">
      <c r="B38" s="28" t="str">
        <f>"Total " &amp; B34</f>
        <v>Total Long Term Disability</v>
      </c>
      <c r="C38" s="46"/>
      <c r="D38" s="47"/>
      <c r="E38" s="48"/>
      <c r="F38" s="48"/>
      <c r="G38" s="17"/>
      <c r="H38" s="20"/>
      <c r="I38" s="49">
        <f>SUM(I35:I37)</f>
        <v>0</v>
      </c>
      <c r="J38" s="50">
        <f>SUM(J35:J37)</f>
        <v>0</v>
      </c>
      <c r="K38" s="51"/>
      <c r="L38" s="51"/>
      <c r="M38" s="51"/>
      <c r="N38" s="33">
        <f>SUM(N35:N37)</f>
        <v>0</v>
      </c>
      <c r="O38" s="51"/>
      <c r="P38" s="51"/>
      <c r="Q38" s="51"/>
      <c r="R38" s="33">
        <f>SUM(R35:R37)</f>
        <v>0</v>
      </c>
      <c r="S38" s="42"/>
      <c r="T38" s="42"/>
      <c r="U38" s="36" t="str">
        <f>IF(N38=0,"N/A",R38/N38-1)</f>
        <v>N/A</v>
      </c>
    </row>
    <row r="39" spans="2:21" x14ac:dyDescent="0.2">
      <c r="B39" s="18"/>
      <c r="C39" s="46"/>
      <c r="D39" s="47"/>
      <c r="E39" s="48"/>
      <c r="F39" s="48"/>
      <c r="G39" s="17"/>
      <c r="H39" s="20"/>
      <c r="I39" s="52"/>
      <c r="J39" s="52"/>
      <c r="K39" s="51"/>
      <c r="L39" s="51"/>
      <c r="M39" s="51"/>
      <c r="N39" s="33"/>
      <c r="O39" s="51"/>
      <c r="P39" s="51"/>
      <c r="Q39" s="51"/>
      <c r="R39" s="33"/>
      <c r="S39" s="42"/>
      <c r="T39" s="42"/>
    </row>
    <row r="40" spans="2:21" x14ac:dyDescent="0.2">
      <c r="B40" s="24" t="s">
        <v>73</v>
      </c>
      <c r="C40" s="46"/>
      <c r="D40" s="47"/>
      <c r="E40" s="48"/>
      <c r="F40" s="48"/>
      <c r="G40" s="17"/>
      <c r="H40" s="20"/>
      <c r="I40" s="52"/>
      <c r="J40" s="52"/>
      <c r="K40" s="51"/>
      <c r="L40" s="51"/>
      <c r="M40" s="51"/>
      <c r="N40" s="53"/>
      <c r="O40" s="51"/>
      <c r="P40" s="51"/>
      <c r="Q40" s="51"/>
      <c r="R40" s="53"/>
      <c r="S40" s="36"/>
    </row>
    <row r="41" spans="2:21" x14ac:dyDescent="0.2">
      <c r="B41" s="54" t="s">
        <v>74</v>
      </c>
      <c r="C41" s="26">
        <v>0</v>
      </c>
      <c r="D41" s="26">
        <v>0</v>
      </c>
      <c r="E41" s="27" t="s">
        <v>63</v>
      </c>
      <c r="F41" s="27" t="s">
        <v>63</v>
      </c>
      <c r="G41" s="28" t="s">
        <v>64</v>
      </c>
      <c r="H41" s="29">
        <v>10</v>
      </c>
      <c r="I41" s="55">
        <v>0</v>
      </c>
      <c r="J41" s="55">
        <v>0</v>
      </c>
      <c r="K41" s="67">
        <v>0</v>
      </c>
      <c r="L41" s="67">
        <v>0</v>
      </c>
      <c r="M41" s="32">
        <f>K41+L41</f>
        <v>0</v>
      </c>
      <c r="N41" s="33">
        <f>ROUND(M41*J41/H41,2)</f>
        <v>0</v>
      </c>
      <c r="O41" s="32">
        <f>ROUND(K41*(1+S41),3)</f>
        <v>0</v>
      </c>
      <c r="P41" s="32">
        <f>ROUND(K41*T41,3)</f>
        <v>0</v>
      </c>
      <c r="Q41" s="34">
        <f>O41+P41</f>
        <v>0</v>
      </c>
      <c r="R41" s="33">
        <f>ROUND(J41*Q41/H41,2)</f>
        <v>0</v>
      </c>
      <c r="S41" s="35">
        <v>0</v>
      </c>
      <c r="T41" s="35">
        <v>0</v>
      </c>
      <c r="U41" s="36" t="str">
        <f>IF(M41=0,"N/A",Q41/M41-1)</f>
        <v>N/A</v>
      </c>
    </row>
    <row r="42" spans="2:21" x14ac:dyDescent="0.2">
      <c r="B42" s="10"/>
      <c r="C42" s="38"/>
      <c r="D42" s="38"/>
      <c r="E42" s="38"/>
      <c r="F42" s="38"/>
      <c r="G42" s="18"/>
      <c r="H42" s="39"/>
      <c r="I42" s="56"/>
      <c r="J42" s="56"/>
      <c r="K42" s="68"/>
      <c r="L42" s="57"/>
      <c r="M42" s="32"/>
      <c r="N42" s="33"/>
      <c r="O42" s="32"/>
      <c r="P42" s="32"/>
      <c r="Q42" s="34"/>
      <c r="R42" s="33"/>
      <c r="S42" s="42"/>
      <c r="T42" s="42"/>
      <c r="U42" s="36"/>
    </row>
    <row r="43" spans="2:21" x14ac:dyDescent="0.2">
      <c r="B43" s="10"/>
      <c r="C43" s="38"/>
      <c r="D43" s="38"/>
      <c r="E43" s="38"/>
      <c r="F43" s="38"/>
      <c r="G43" s="18"/>
      <c r="H43" s="64"/>
      <c r="I43" s="56"/>
      <c r="J43" s="56"/>
      <c r="K43" s="68"/>
      <c r="L43" s="57"/>
      <c r="M43" s="32"/>
      <c r="N43" s="44"/>
      <c r="O43" s="32"/>
      <c r="P43" s="69"/>
      <c r="Q43" s="34"/>
      <c r="R43" s="44"/>
      <c r="S43" s="45"/>
    </row>
    <row r="44" spans="2:21" x14ac:dyDescent="0.2">
      <c r="B44" s="28" t="str">
        <f>"Total " &amp; B40</f>
        <v>Total Short Term Absence</v>
      </c>
      <c r="C44" s="46"/>
      <c r="D44" s="47"/>
      <c r="E44" s="48"/>
      <c r="F44" s="48"/>
      <c r="G44" s="17"/>
      <c r="H44" s="64"/>
      <c r="I44" s="49">
        <f>SUM(I41:I43)</f>
        <v>0</v>
      </c>
      <c r="J44" s="50">
        <f>SUM(J41:J43)</f>
        <v>0</v>
      </c>
      <c r="K44" s="51"/>
      <c r="L44" s="51"/>
      <c r="M44" s="51"/>
      <c r="N44" s="33">
        <f>SUM(N41:N43)</f>
        <v>0</v>
      </c>
      <c r="O44" s="51"/>
      <c r="P44" s="51"/>
      <c r="Q44" s="51"/>
      <c r="R44" s="33">
        <f>SUM(R41:R43)</f>
        <v>0</v>
      </c>
      <c r="S44" s="42"/>
      <c r="T44" s="42"/>
      <c r="U44" s="36" t="str">
        <f>IF(N44=0,"N/A",R44/N44-1)</f>
        <v>N/A</v>
      </c>
    </row>
    <row r="45" spans="2:21" x14ac:dyDescent="0.2">
      <c r="B45" s="18"/>
      <c r="C45" s="46"/>
      <c r="D45" s="47"/>
      <c r="E45" s="48"/>
      <c r="F45" s="48"/>
      <c r="G45" s="17"/>
      <c r="H45" s="64"/>
      <c r="I45" s="52"/>
      <c r="J45" s="52"/>
      <c r="K45" s="51"/>
      <c r="L45" s="51"/>
      <c r="M45" s="51"/>
      <c r="N45" s="33"/>
      <c r="O45" s="51"/>
      <c r="P45" s="51"/>
      <c r="Q45" s="51"/>
      <c r="R45" s="33"/>
      <c r="S45" s="42"/>
      <c r="T45" s="42"/>
      <c r="U45" s="36"/>
    </row>
    <row r="46" spans="2:21" x14ac:dyDescent="0.2">
      <c r="B46" s="24" t="s">
        <v>75</v>
      </c>
      <c r="C46" s="60"/>
      <c r="D46" s="47"/>
      <c r="E46" s="47"/>
      <c r="F46" s="47"/>
      <c r="G46" s="18"/>
      <c r="H46" s="64"/>
      <c r="I46" s="23"/>
      <c r="J46" s="23"/>
      <c r="K46" s="12"/>
      <c r="L46" s="12"/>
      <c r="M46" s="12"/>
      <c r="N46" s="13"/>
      <c r="O46" s="12"/>
      <c r="P46" s="12"/>
      <c r="Q46" s="12"/>
      <c r="R46" s="13"/>
      <c r="S46" s="14"/>
    </row>
    <row r="47" spans="2:21" x14ac:dyDescent="0.2">
      <c r="B47" s="54" t="s">
        <v>76</v>
      </c>
      <c r="C47" s="26">
        <v>0</v>
      </c>
      <c r="D47" s="27" t="s">
        <v>63</v>
      </c>
      <c r="E47" s="27" t="s">
        <v>63</v>
      </c>
      <c r="F47" s="27" t="s">
        <v>63</v>
      </c>
      <c r="G47" s="70"/>
      <c r="H47" s="27" t="s">
        <v>77</v>
      </c>
      <c r="I47" s="55">
        <v>0</v>
      </c>
      <c r="J47" s="55"/>
      <c r="K47" s="71">
        <v>0</v>
      </c>
      <c r="L47" s="72">
        <v>0</v>
      </c>
      <c r="M47" s="58">
        <f>K47+L47</f>
        <v>0</v>
      </c>
      <c r="N47" s="61">
        <f>ROUND(M47*I47,2)</f>
        <v>0</v>
      </c>
      <c r="O47" s="58">
        <f>ROUND(K47*(1+S47),2)</f>
        <v>0</v>
      </c>
      <c r="P47" s="58">
        <f>ROUND(K47*T47,2)</f>
        <v>0</v>
      </c>
      <c r="Q47" s="73">
        <f>O47+P47</f>
        <v>0</v>
      </c>
      <c r="R47" s="61">
        <f>ROUND(Q47*I47,2)</f>
        <v>0</v>
      </c>
      <c r="S47" s="35">
        <v>0</v>
      </c>
      <c r="T47" s="35">
        <v>0</v>
      </c>
      <c r="U47" s="36" t="str">
        <f>IF(M47=0,"N/A",Q47/M47-1)</f>
        <v>N/A</v>
      </c>
    </row>
    <row r="48" spans="2:21" x14ac:dyDescent="0.2">
      <c r="B48" s="54" t="s">
        <v>76</v>
      </c>
      <c r="C48" s="26">
        <v>0</v>
      </c>
      <c r="D48" s="27" t="s">
        <v>63</v>
      </c>
      <c r="E48" s="27" t="s">
        <v>63</v>
      </c>
      <c r="F48" s="27" t="s">
        <v>63</v>
      </c>
      <c r="G48" s="70"/>
      <c r="H48" s="27" t="s">
        <v>78</v>
      </c>
      <c r="I48" s="55">
        <v>0</v>
      </c>
      <c r="J48" s="55"/>
      <c r="K48" s="71">
        <v>0</v>
      </c>
      <c r="L48" s="72">
        <v>0</v>
      </c>
      <c r="M48" s="58">
        <f>K48+L48</f>
        <v>0</v>
      </c>
      <c r="N48" s="61">
        <f>ROUND(M48*I48,2)</f>
        <v>0</v>
      </c>
      <c r="O48" s="58">
        <f>ROUND(K48*(1+S48),2)</f>
        <v>0</v>
      </c>
      <c r="P48" s="58">
        <f>ROUND(K48*T48,2)</f>
        <v>0</v>
      </c>
      <c r="Q48" s="73">
        <f>O48+P48</f>
        <v>0</v>
      </c>
      <c r="R48" s="61">
        <f>ROUND(Q48*I48,2)</f>
        <v>0</v>
      </c>
      <c r="S48" s="35">
        <v>0</v>
      </c>
      <c r="T48" s="35">
        <v>0</v>
      </c>
      <c r="U48" s="36" t="str">
        <f>IF(M48=0,"N/A",Q48/M48-1)</f>
        <v>N/A</v>
      </c>
    </row>
    <row r="49" spans="2:21" x14ac:dyDescent="0.2">
      <c r="B49" s="10"/>
      <c r="C49" s="38"/>
      <c r="D49" s="38"/>
      <c r="E49" s="38"/>
      <c r="F49" s="38"/>
      <c r="G49" s="43"/>
      <c r="H49" s="10"/>
      <c r="I49" s="56"/>
      <c r="J49" s="56"/>
      <c r="K49" s="74"/>
      <c r="L49" s="57"/>
      <c r="M49" s="58"/>
      <c r="N49" s="61"/>
      <c r="O49" s="58"/>
      <c r="P49" s="58"/>
      <c r="Q49" s="73"/>
      <c r="R49" s="61"/>
      <c r="S49" s="42"/>
      <c r="T49" s="42"/>
      <c r="U49" s="36"/>
    </row>
    <row r="50" spans="2:21" x14ac:dyDescent="0.2">
      <c r="B50" s="10"/>
      <c r="C50" s="38"/>
      <c r="D50" s="38"/>
      <c r="E50" s="38"/>
      <c r="F50" s="38"/>
      <c r="G50" s="43"/>
      <c r="H50" s="10"/>
      <c r="I50" s="56"/>
      <c r="J50" s="56"/>
      <c r="K50" s="74"/>
      <c r="L50" s="57"/>
      <c r="M50" s="32"/>
      <c r="N50" s="44"/>
      <c r="O50" s="58"/>
      <c r="P50" s="69"/>
      <c r="Q50" s="34"/>
      <c r="R50" s="44"/>
      <c r="S50" s="45"/>
    </row>
    <row r="51" spans="2:21" x14ac:dyDescent="0.2">
      <c r="B51" s="28" t="str">
        <f>"Total " &amp; B46</f>
        <v>Total Extended Health Care</v>
      </c>
      <c r="C51" s="46"/>
      <c r="D51" s="47"/>
      <c r="E51" s="48"/>
      <c r="F51" s="48"/>
      <c r="G51" s="17"/>
      <c r="H51" s="20"/>
      <c r="I51" s="59">
        <f>SUM(I47:I50)</f>
        <v>0</v>
      </c>
      <c r="J51" s="50"/>
      <c r="K51" s="51"/>
      <c r="L51" s="51"/>
      <c r="M51" s="51"/>
      <c r="N51" s="33">
        <f>SUM(N47:N50)</f>
        <v>0</v>
      </c>
      <c r="O51" s="51"/>
      <c r="P51" s="51"/>
      <c r="Q51" s="51"/>
      <c r="R51" s="33">
        <f>SUM(R47:R50)</f>
        <v>0</v>
      </c>
      <c r="S51" s="42"/>
      <c r="T51" s="42"/>
      <c r="U51" s="36" t="str">
        <f>IF(N51=0,"N/A",R51/N51-1)</f>
        <v>N/A</v>
      </c>
    </row>
    <row r="52" spans="2:21" x14ac:dyDescent="0.2">
      <c r="B52" s="18"/>
      <c r="C52" s="46"/>
      <c r="D52" s="47"/>
      <c r="E52" s="48"/>
      <c r="F52" s="48"/>
      <c r="G52" s="17"/>
      <c r="H52" s="20"/>
      <c r="I52" s="52"/>
      <c r="J52" s="52"/>
      <c r="K52" s="51"/>
      <c r="L52" s="51"/>
      <c r="M52" s="51"/>
      <c r="N52" s="33"/>
      <c r="O52" s="51"/>
      <c r="P52" s="51"/>
      <c r="Q52" s="51"/>
      <c r="R52" s="33"/>
      <c r="S52" s="42"/>
      <c r="T52" s="42"/>
      <c r="U52" s="36"/>
    </row>
    <row r="53" spans="2:21" x14ac:dyDescent="0.2">
      <c r="B53" s="24" t="s">
        <v>79</v>
      </c>
      <c r="C53" s="60"/>
      <c r="D53" s="47"/>
      <c r="E53" s="47"/>
      <c r="F53" s="47"/>
      <c r="G53" s="18"/>
      <c r="H53" s="64"/>
      <c r="I53" s="23"/>
      <c r="J53" s="23"/>
      <c r="K53" s="12"/>
      <c r="L53" s="12"/>
      <c r="M53" s="12"/>
      <c r="N53" s="13"/>
      <c r="O53" s="12"/>
      <c r="P53" s="12"/>
      <c r="Q53" s="12"/>
      <c r="R53" s="13"/>
      <c r="S53" s="14"/>
    </row>
    <row r="54" spans="2:21" x14ac:dyDescent="0.2">
      <c r="B54" s="54" t="s">
        <v>76</v>
      </c>
      <c r="C54" s="26">
        <v>0</v>
      </c>
      <c r="D54" s="26">
        <v>0</v>
      </c>
      <c r="E54" s="27" t="s">
        <v>63</v>
      </c>
      <c r="F54" s="27" t="s">
        <v>63</v>
      </c>
      <c r="G54" s="70"/>
      <c r="H54" s="27" t="s">
        <v>77</v>
      </c>
      <c r="I54" s="55">
        <v>0</v>
      </c>
      <c r="J54" s="55"/>
      <c r="K54" s="71">
        <v>0</v>
      </c>
      <c r="L54" s="72">
        <v>0</v>
      </c>
      <c r="M54" s="58">
        <f>K54+L54</f>
        <v>0</v>
      </c>
      <c r="N54" s="61">
        <f>ROUND(M54*I54,2)</f>
        <v>0</v>
      </c>
      <c r="O54" s="58">
        <f>ROUND(K54*(1+S54),2)</f>
        <v>0</v>
      </c>
      <c r="P54" s="58">
        <f>ROUND(K54*T54,2)</f>
        <v>0</v>
      </c>
      <c r="Q54" s="73">
        <f>O54+P54</f>
        <v>0</v>
      </c>
      <c r="R54" s="61">
        <f>ROUND(Q54*I54,2)</f>
        <v>0</v>
      </c>
      <c r="S54" s="35">
        <v>0</v>
      </c>
      <c r="T54" s="35">
        <v>0</v>
      </c>
      <c r="U54" s="36" t="str">
        <f>IF(M54=0,"N/A",Q54/M54-1)</f>
        <v>N/A</v>
      </c>
    </row>
    <row r="55" spans="2:21" x14ac:dyDescent="0.2">
      <c r="B55" s="54" t="s">
        <v>76</v>
      </c>
      <c r="C55" s="26">
        <v>0</v>
      </c>
      <c r="D55" s="26">
        <v>0</v>
      </c>
      <c r="E55" s="27" t="s">
        <v>63</v>
      </c>
      <c r="F55" s="27" t="s">
        <v>63</v>
      </c>
      <c r="G55" s="70"/>
      <c r="H55" s="27" t="s">
        <v>78</v>
      </c>
      <c r="I55" s="55">
        <v>0</v>
      </c>
      <c r="J55" s="55"/>
      <c r="K55" s="71">
        <v>0</v>
      </c>
      <c r="L55" s="72">
        <v>0</v>
      </c>
      <c r="M55" s="58">
        <f>K55+L55</f>
        <v>0</v>
      </c>
      <c r="N55" s="61">
        <f>ROUND(M55*I55,2)</f>
        <v>0</v>
      </c>
      <c r="O55" s="58">
        <f>ROUND(K55*(1+S55),2)</f>
        <v>0</v>
      </c>
      <c r="P55" s="58">
        <f>ROUND(K55*T55,2)</f>
        <v>0</v>
      </c>
      <c r="Q55" s="73">
        <f>O55+P55</f>
        <v>0</v>
      </c>
      <c r="R55" s="61">
        <f>ROUND(Q55*I55,2)</f>
        <v>0</v>
      </c>
      <c r="S55" s="35">
        <v>0</v>
      </c>
      <c r="T55" s="35">
        <v>0</v>
      </c>
      <c r="U55" s="36" t="str">
        <f>IF(M55=0,"N/A",Q55/M55-1)</f>
        <v>N/A</v>
      </c>
    </row>
    <row r="56" spans="2:21" x14ac:dyDescent="0.2">
      <c r="B56" s="10"/>
      <c r="C56" s="38"/>
      <c r="D56" s="38"/>
      <c r="E56" s="38"/>
      <c r="F56" s="38"/>
      <c r="G56" s="43"/>
      <c r="H56" s="10"/>
      <c r="I56" s="56"/>
      <c r="J56" s="56"/>
      <c r="K56" s="74"/>
      <c r="L56" s="57"/>
      <c r="M56" s="58"/>
      <c r="N56" s="61"/>
      <c r="O56" s="58"/>
      <c r="P56" s="58"/>
      <c r="Q56" s="73"/>
      <c r="R56" s="61"/>
      <c r="S56" s="42"/>
      <c r="T56" s="42"/>
      <c r="U56" s="36"/>
    </row>
    <row r="57" spans="2:21" x14ac:dyDescent="0.2">
      <c r="B57" s="10"/>
      <c r="C57" s="38"/>
      <c r="D57" s="38"/>
      <c r="E57" s="38"/>
      <c r="F57" s="38"/>
      <c r="G57" s="43"/>
      <c r="H57" s="10"/>
      <c r="I57" s="56"/>
      <c r="J57" s="56"/>
      <c r="K57" s="74"/>
      <c r="L57" s="57"/>
      <c r="M57" s="32"/>
      <c r="N57" s="44"/>
      <c r="O57" s="58"/>
      <c r="P57" s="69"/>
      <c r="Q57" s="34"/>
      <c r="R57" s="44"/>
      <c r="S57" s="45"/>
    </row>
    <row r="58" spans="2:21" x14ac:dyDescent="0.2">
      <c r="B58" s="28" t="str">
        <f>"Total " &amp; B53</f>
        <v>Total Hospital</v>
      </c>
      <c r="C58" s="46"/>
      <c r="D58" s="47"/>
      <c r="E58" s="48"/>
      <c r="F58" s="48"/>
      <c r="G58" s="17"/>
      <c r="H58" s="20"/>
      <c r="I58" s="59">
        <f>SUM(I54:I57)</f>
        <v>0</v>
      </c>
      <c r="J58" s="50"/>
      <c r="K58" s="51"/>
      <c r="L58" s="51"/>
      <c r="M58" s="51"/>
      <c r="N58" s="33">
        <f>SUM(N54:N57)</f>
        <v>0</v>
      </c>
      <c r="O58" s="51"/>
      <c r="P58" s="51"/>
      <c r="Q58" s="51"/>
      <c r="R58" s="33">
        <f>SUM(R54:R57)</f>
        <v>0</v>
      </c>
      <c r="S58" s="42"/>
      <c r="T58" s="42"/>
      <c r="U58" s="36" t="str">
        <f>IF(N58=0,"N/A",R58/N58-1)</f>
        <v>N/A</v>
      </c>
    </row>
    <row r="59" spans="2:21" x14ac:dyDescent="0.2">
      <c r="B59" s="18"/>
      <c r="C59" s="46"/>
      <c r="D59" s="47"/>
      <c r="E59" s="48"/>
      <c r="F59" s="48"/>
      <c r="G59" s="17"/>
      <c r="H59" s="20"/>
      <c r="I59" s="52"/>
      <c r="J59" s="52"/>
      <c r="K59" s="51"/>
      <c r="L59" s="51"/>
      <c r="M59" s="51"/>
      <c r="N59" s="33"/>
      <c r="O59" s="51"/>
      <c r="P59" s="51"/>
      <c r="Q59" s="51"/>
      <c r="R59" s="33"/>
      <c r="S59" s="42"/>
      <c r="T59" s="42"/>
      <c r="U59" s="36"/>
    </row>
    <row r="60" spans="2:21" x14ac:dyDescent="0.2">
      <c r="B60" s="24" t="s">
        <v>80</v>
      </c>
      <c r="C60" s="60"/>
      <c r="D60" s="47"/>
      <c r="E60" s="47"/>
      <c r="F60" s="47"/>
      <c r="G60" s="18"/>
      <c r="H60" s="64"/>
      <c r="I60" s="23"/>
      <c r="J60" s="23"/>
      <c r="K60" s="12"/>
      <c r="L60" s="12"/>
      <c r="M60" s="12"/>
      <c r="N60" s="13"/>
      <c r="O60" s="12"/>
      <c r="P60" s="12"/>
      <c r="Q60" s="12"/>
      <c r="R60" s="13"/>
      <c r="S60" s="14"/>
    </row>
    <row r="61" spans="2:21" x14ac:dyDescent="0.2">
      <c r="B61" s="54" t="s">
        <v>76</v>
      </c>
      <c r="C61" s="26">
        <v>0</v>
      </c>
      <c r="D61" s="26">
        <v>0</v>
      </c>
      <c r="E61" s="27" t="s">
        <v>63</v>
      </c>
      <c r="F61" s="27" t="s">
        <v>63</v>
      </c>
      <c r="G61" s="70"/>
      <c r="H61" s="27" t="s">
        <v>77</v>
      </c>
      <c r="I61" s="55">
        <v>0</v>
      </c>
      <c r="J61" s="55"/>
      <c r="K61" s="71">
        <v>0</v>
      </c>
      <c r="L61" s="72">
        <v>0</v>
      </c>
      <c r="M61" s="58">
        <f>K61+L61</f>
        <v>0</v>
      </c>
      <c r="N61" s="61">
        <f>ROUND(M61*I61,2)</f>
        <v>0</v>
      </c>
      <c r="O61" s="58">
        <f>ROUND(K61*(1+S61),2)</f>
        <v>0</v>
      </c>
      <c r="P61" s="58">
        <f>ROUND(K61*T61,2)</f>
        <v>0</v>
      </c>
      <c r="Q61" s="73">
        <f>O61+P61</f>
        <v>0</v>
      </c>
      <c r="R61" s="61">
        <f>ROUND(Q61*I61,2)</f>
        <v>0</v>
      </c>
      <c r="S61" s="35">
        <v>0</v>
      </c>
      <c r="T61" s="35">
        <v>0</v>
      </c>
      <c r="U61" s="36" t="str">
        <f>IF(M61=0,"N/A",Q61/M61-1)</f>
        <v>N/A</v>
      </c>
    </row>
    <row r="62" spans="2:21" x14ac:dyDescent="0.2">
      <c r="B62" s="54" t="s">
        <v>76</v>
      </c>
      <c r="C62" s="26">
        <v>0</v>
      </c>
      <c r="D62" s="26">
        <v>0</v>
      </c>
      <c r="E62" s="27" t="s">
        <v>63</v>
      </c>
      <c r="F62" s="27" t="s">
        <v>63</v>
      </c>
      <c r="G62" s="70"/>
      <c r="H62" s="27" t="s">
        <v>78</v>
      </c>
      <c r="I62" s="55">
        <v>0</v>
      </c>
      <c r="J62" s="55"/>
      <c r="K62" s="71">
        <v>0</v>
      </c>
      <c r="L62" s="72">
        <v>0</v>
      </c>
      <c r="M62" s="58">
        <f>K62+L62</f>
        <v>0</v>
      </c>
      <c r="N62" s="61">
        <f>ROUND(M62*I62,2)</f>
        <v>0</v>
      </c>
      <c r="O62" s="58">
        <f>ROUND(K62*(1+S62),2)</f>
        <v>0</v>
      </c>
      <c r="P62" s="58">
        <f>ROUND(K62*T62,2)</f>
        <v>0</v>
      </c>
      <c r="Q62" s="73">
        <f>O62+P62</f>
        <v>0</v>
      </c>
      <c r="R62" s="61">
        <f>ROUND(Q62*I62,2)</f>
        <v>0</v>
      </c>
      <c r="S62" s="35">
        <v>0</v>
      </c>
      <c r="T62" s="35">
        <v>0</v>
      </c>
      <c r="U62" s="36" t="str">
        <f>IF(M62=0,"N/A",Q62/M62-1)</f>
        <v>N/A</v>
      </c>
    </row>
    <row r="63" spans="2:21" x14ac:dyDescent="0.2">
      <c r="B63" s="10"/>
      <c r="C63" s="38"/>
      <c r="D63" s="38"/>
      <c r="E63" s="38"/>
      <c r="F63" s="38"/>
      <c r="G63" s="43"/>
      <c r="H63" s="10"/>
      <c r="I63" s="56"/>
      <c r="J63" s="56"/>
      <c r="K63" s="74"/>
      <c r="L63" s="57"/>
      <c r="M63" s="58"/>
      <c r="N63" s="61"/>
      <c r="O63" s="58"/>
      <c r="P63" s="58"/>
      <c r="Q63" s="73"/>
      <c r="R63" s="61"/>
      <c r="S63" s="42"/>
      <c r="T63" s="42"/>
      <c r="U63" s="36"/>
    </row>
    <row r="64" spans="2:21" x14ac:dyDescent="0.2">
      <c r="B64" s="10"/>
      <c r="C64" s="38"/>
      <c r="D64" s="38"/>
      <c r="E64" s="38"/>
      <c r="F64" s="38"/>
      <c r="G64" s="43"/>
      <c r="H64" s="10"/>
      <c r="I64" s="56"/>
      <c r="J64" s="56"/>
      <c r="K64" s="74"/>
      <c r="L64" s="57"/>
      <c r="M64" s="32"/>
      <c r="N64" s="44"/>
      <c r="O64" s="58"/>
      <c r="P64" s="69"/>
      <c r="Q64" s="34"/>
      <c r="R64" s="44"/>
      <c r="S64" s="45"/>
    </row>
    <row r="65" spans="2:21" x14ac:dyDescent="0.2">
      <c r="B65" s="28" t="str">
        <f>"Total " &amp; B60</f>
        <v>Total Drugs</v>
      </c>
      <c r="C65" s="46"/>
      <c r="D65" s="47"/>
      <c r="E65" s="48"/>
      <c r="F65" s="48"/>
      <c r="G65" s="17"/>
      <c r="H65" s="20"/>
      <c r="I65" s="59">
        <f>SUM(I61:I64)</f>
        <v>0</v>
      </c>
      <c r="J65" s="50"/>
      <c r="K65" s="51"/>
      <c r="L65" s="51"/>
      <c r="M65" s="51"/>
      <c r="N65" s="33">
        <f>SUM(N61:N64)</f>
        <v>0</v>
      </c>
      <c r="O65" s="51"/>
      <c r="P65" s="51"/>
      <c r="Q65" s="51"/>
      <c r="R65" s="33">
        <f>SUM(R61:R64)</f>
        <v>0</v>
      </c>
      <c r="S65" s="42"/>
      <c r="T65" s="42"/>
      <c r="U65" s="36" t="str">
        <f>IF(N65=0,"N/A",R65/N65-1)</f>
        <v>N/A</v>
      </c>
    </row>
    <row r="66" spans="2:21" x14ac:dyDescent="0.2">
      <c r="B66" s="18"/>
      <c r="C66" s="46"/>
      <c r="D66" s="47"/>
      <c r="E66" s="48"/>
      <c r="F66" s="48"/>
      <c r="G66" s="17"/>
      <c r="H66" s="20"/>
      <c r="I66" s="52"/>
      <c r="J66" s="52"/>
      <c r="K66" s="51"/>
      <c r="L66" s="51"/>
      <c r="M66" s="51"/>
      <c r="N66" s="33"/>
      <c r="O66" s="51"/>
      <c r="P66" s="51"/>
      <c r="Q66" s="51"/>
      <c r="R66" s="33"/>
      <c r="S66" s="42"/>
      <c r="T66" s="42"/>
      <c r="U66" s="36"/>
    </row>
    <row r="67" spans="2:21" x14ac:dyDescent="0.2">
      <c r="B67" s="24" t="s">
        <v>81</v>
      </c>
      <c r="C67" s="60"/>
      <c r="D67" s="47"/>
      <c r="E67" s="47"/>
      <c r="F67" s="47"/>
      <c r="G67" s="18"/>
      <c r="H67" s="64"/>
      <c r="I67" s="23"/>
      <c r="J67" s="23"/>
      <c r="K67" s="12"/>
      <c r="L67" s="12"/>
      <c r="M67" s="12"/>
      <c r="N67" s="13"/>
      <c r="O67" s="12"/>
      <c r="P67" s="12"/>
      <c r="Q67" s="12"/>
      <c r="R67" s="13"/>
      <c r="S67" s="14"/>
    </row>
    <row r="68" spans="2:21" x14ac:dyDescent="0.2">
      <c r="B68" s="54" t="s">
        <v>76</v>
      </c>
      <c r="C68" s="26">
        <v>0</v>
      </c>
      <c r="D68" s="26">
        <v>0</v>
      </c>
      <c r="E68" s="27" t="s">
        <v>63</v>
      </c>
      <c r="F68" s="27" t="s">
        <v>63</v>
      </c>
      <c r="G68" s="70"/>
      <c r="H68" s="27" t="s">
        <v>77</v>
      </c>
      <c r="I68" s="55">
        <v>0</v>
      </c>
      <c r="J68" s="55"/>
      <c r="K68" s="71">
        <v>0</v>
      </c>
      <c r="L68" s="72">
        <v>0</v>
      </c>
      <c r="M68" s="58">
        <f>K68+L68</f>
        <v>0</v>
      </c>
      <c r="N68" s="61">
        <f>ROUND(M68*I68,2)</f>
        <v>0</v>
      </c>
      <c r="O68" s="58">
        <f>ROUND(K68*(1+S68),2)</f>
        <v>0</v>
      </c>
      <c r="P68" s="58">
        <f>ROUND(K68*T68,2)</f>
        <v>0</v>
      </c>
      <c r="Q68" s="73">
        <f>O68+P68</f>
        <v>0</v>
      </c>
      <c r="R68" s="61">
        <f>ROUND(Q68*I68,2)</f>
        <v>0</v>
      </c>
      <c r="S68" s="35">
        <v>0</v>
      </c>
      <c r="T68" s="35">
        <v>0</v>
      </c>
      <c r="U68" s="36" t="str">
        <f>IF(M68=0,"N/A",Q68/M68-1)</f>
        <v>N/A</v>
      </c>
    </row>
    <row r="69" spans="2:21" x14ac:dyDescent="0.2">
      <c r="B69" s="54" t="s">
        <v>76</v>
      </c>
      <c r="C69" s="26">
        <v>0</v>
      </c>
      <c r="D69" s="26">
        <v>0</v>
      </c>
      <c r="E69" s="27" t="s">
        <v>63</v>
      </c>
      <c r="F69" s="27" t="s">
        <v>63</v>
      </c>
      <c r="G69" s="70"/>
      <c r="H69" s="27" t="s">
        <v>78</v>
      </c>
      <c r="I69" s="55">
        <v>0</v>
      </c>
      <c r="J69" s="55"/>
      <c r="K69" s="71">
        <v>0</v>
      </c>
      <c r="L69" s="72">
        <v>0</v>
      </c>
      <c r="M69" s="58">
        <f>K69+L69</f>
        <v>0</v>
      </c>
      <c r="N69" s="61">
        <f>ROUND(M69*I69,2)</f>
        <v>0</v>
      </c>
      <c r="O69" s="58">
        <f>ROUND(K69*(1+S69),2)</f>
        <v>0</v>
      </c>
      <c r="P69" s="58">
        <f>ROUND(K69*T69,2)</f>
        <v>0</v>
      </c>
      <c r="Q69" s="73">
        <f>O69+P69</f>
        <v>0</v>
      </c>
      <c r="R69" s="61">
        <f>ROUND(Q69*I69,2)</f>
        <v>0</v>
      </c>
      <c r="S69" s="35">
        <v>0</v>
      </c>
      <c r="T69" s="35">
        <v>0</v>
      </c>
      <c r="U69" s="36" t="str">
        <f>IF(M69=0,"N/A",Q69/M69-1)</f>
        <v>N/A</v>
      </c>
    </row>
    <row r="70" spans="2:21" x14ac:dyDescent="0.2">
      <c r="B70" s="10"/>
      <c r="C70" s="38"/>
      <c r="D70" s="38"/>
      <c r="E70" s="38"/>
      <c r="F70" s="38"/>
      <c r="G70" s="43"/>
      <c r="H70" s="10"/>
      <c r="I70" s="56"/>
      <c r="J70" s="56"/>
      <c r="K70" s="74"/>
      <c r="L70" s="57"/>
      <c r="M70" s="58"/>
      <c r="N70" s="61"/>
      <c r="O70" s="58"/>
      <c r="P70" s="58"/>
      <c r="Q70" s="73"/>
      <c r="R70" s="61"/>
      <c r="S70" s="42"/>
      <c r="T70" s="42"/>
      <c r="U70" s="36"/>
    </row>
    <row r="71" spans="2:21" x14ac:dyDescent="0.2">
      <c r="B71" s="10"/>
      <c r="C71" s="38"/>
      <c r="D71" s="38"/>
      <c r="E71" s="38"/>
      <c r="F71" s="38"/>
      <c r="G71" s="43"/>
      <c r="H71" s="10"/>
      <c r="I71" s="56"/>
      <c r="J71" s="56"/>
      <c r="K71" s="74"/>
      <c r="L71" s="57"/>
      <c r="M71" s="32"/>
      <c r="N71" s="44"/>
      <c r="O71" s="58"/>
      <c r="P71" s="69"/>
      <c r="Q71" s="34"/>
      <c r="R71" s="44"/>
      <c r="S71" s="45"/>
    </row>
    <row r="72" spans="2:21" x14ac:dyDescent="0.2">
      <c r="B72" s="28" t="str">
        <f>"Total " &amp; B67</f>
        <v>Total Vision</v>
      </c>
      <c r="C72" s="46"/>
      <c r="D72" s="47"/>
      <c r="E72" s="48"/>
      <c r="F72" s="48"/>
      <c r="G72" s="17"/>
      <c r="H72" s="20"/>
      <c r="I72" s="59">
        <f>SUM(I68:I71)</f>
        <v>0</v>
      </c>
      <c r="J72" s="50"/>
      <c r="K72" s="51"/>
      <c r="L72" s="51"/>
      <c r="M72" s="51"/>
      <c r="N72" s="33">
        <f>SUM(N68:N71)</f>
        <v>0</v>
      </c>
      <c r="O72" s="51"/>
      <c r="P72" s="51"/>
      <c r="Q72" s="51"/>
      <c r="R72" s="33">
        <f>SUM(R68:R71)</f>
        <v>0</v>
      </c>
      <c r="S72" s="42"/>
      <c r="T72" s="42"/>
      <c r="U72" s="36" t="str">
        <f>IF(N72=0,"N/A",R72/N72-1)</f>
        <v>N/A</v>
      </c>
    </row>
    <row r="73" spans="2:21" x14ac:dyDescent="0.2">
      <c r="B73" s="18"/>
      <c r="C73" s="46"/>
      <c r="D73" s="47"/>
      <c r="E73" s="48"/>
      <c r="F73" s="48"/>
      <c r="G73" s="17"/>
      <c r="H73" s="20"/>
      <c r="I73" s="52"/>
      <c r="J73" s="52"/>
      <c r="K73" s="51"/>
      <c r="L73" s="51"/>
      <c r="M73" s="51"/>
      <c r="N73" s="33"/>
      <c r="O73" s="51"/>
      <c r="P73" s="51"/>
      <c r="Q73" s="51"/>
      <c r="R73" s="33"/>
      <c r="S73" s="42"/>
      <c r="T73" s="42"/>
      <c r="U73" s="36"/>
    </row>
    <row r="74" spans="2:21" x14ac:dyDescent="0.2">
      <c r="B74" s="24" t="s">
        <v>82</v>
      </c>
      <c r="C74" s="60"/>
      <c r="D74" s="47"/>
      <c r="E74" s="47"/>
      <c r="F74" s="47"/>
      <c r="G74" s="18"/>
      <c r="H74" s="10"/>
      <c r="I74" s="23"/>
      <c r="J74" s="23"/>
      <c r="K74" s="12"/>
      <c r="L74" s="12"/>
      <c r="M74" s="12"/>
      <c r="N74" s="13"/>
      <c r="O74" s="12"/>
      <c r="P74" s="12"/>
      <c r="Q74" s="12"/>
      <c r="R74" s="13"/>
      <c r="S74" s="75"/>
    </row>
    <row r="75" spans="2:21" x14ac:dyDescent="0.2">
      <c r="B75" s="54" t="s">
        <v>76</v>
      </c>
      <c r="C75" s="26">
        <v>0</v>
      </c>
      <c r="D75" s="26">
        <v>0</v>
      </c>
      <c r="E75" s="27" t="s">
        <v>63</v>
      </c>
      <c r="F75" s="27" t="s">
        <v>63</v>
      </c>
      <c r="G75" s="70"/>
      <c r="H75" s="27" t="s">
        <v>77</v>
      </c>
      <c r="I75" s="55">
        <v>0</v>
      </c>
      <c r="J75" s="55"/>
      <c r="K75" s="71">
        <v>0</v>
      </c>
      <c r="L75" s="72">
        <v>0</v>
      </c>
      <c r="M75" s="58">
        <f>K75+L75</f>
        <v>0</v>
      </c>
      <c r="N75" s="61">
        <f>ROUND(M75*I75,2)</f>
        <v>0</v>
      </c>
      <c r="O75" s="58">
        <f>ROUND(K75*(1+S75),2)</f>
        <v>0</v>
      </c>
      <c r="P75" s="58">
        <f>ROUND(K75*T75,2)</f>
        <v>0</v>
      </c>
      <c r="Q75" s="73">
        <f>O75+P75</f>
        <v>0</v>
      </c>
      <c r="R75" s="61">
        <f>ROUND(Q75*I75,2)</f>
        <v>0</v>
      </c>
      <c r="S75" s="35">
        <v>0</v>
      </c>
      <c r="T75" s="35">
        <v>0</v>
      </c>
      <c r="U75" s="36" t="str">
        <f>IF(M75=0,"N/A",Q75/M75-1)</f>
        <v>N/A</v>
      </c>
    </row>
    <row r="76" spans="2:21" x14ac:dyDescent="0.2">
      <c r="B76" s="54" t="s">
        <v>76</v>
      </c>
      <c r="C76" s="26">
        <v>0</v>
      </c>
      <c r="D76" s="26">
        <v>0</v>
      </c>
      <c r="E76" s="27" t="s">
        <v>63</v>
      </c>
      <c r="F76" s="27" t="s">
        <v>63</v>
      </c>
      <c r="G76" s="70"/>
      <c r="H76" s="27" t="s">
        <v>78</v>
      </c>
      <c r="I76" s="55">
        <v>0</v>
      </c>
      <c r="J76" s="55"/>
      <c r="K76" s="71">
        <v>0</v>
      </c>
      <c r="L76" s="72">
        <v>0</v>
      </c>
      <c r="M76" s="58">
        <f>K76+L76</f>
        <v>0</v>
      </c>
      <c r="N76" s="61">
        <f>ROUND(M76*I76,2)</f>
        <v>0</v>
      </c>
      <c r="O76" s="58">
        <f>ROUND(K76*(1+S76),2)</f>
        <v>0</v>
      </c>
      <c r="P76" s="58">
        <f>ROUND(K76*T76,2)</f>
        <v>0</v>
      </c>
      <c r="Q76" s="73">
        <f>O76+P76</f>
        <v>0</v>
      </c>
      <c r="R76" s="61">
        <f>ROUND(Q76*I76,2)</f>
        <v>0</v>
      </c>
      <c r="S76" s="35">
        <v>0</v>
      </c>
      <c r="T76" s="35">
        <v>0</v>
      </c>
      <c r="U76" s="36" t="str">
        <f>IF(M76=0,"N/A",Q76/M76-1)</f>
        <v>N/A</v>
      </c>
    </row>
    <row r="77" spans="2:21" x14ac:dyDescent="0.2">
      <c r="B77" s="10"/>
      <c r="C77" s="38"/>
      <c r="D77" s="38"/>
      <c r="E77" s="38"/>
      <c r="F77" s="38"/>
      <c r="G77" s="43"/>
      <c r="H77" s="10"/>
      <c r="I77" s="56"/>
      <c r="J77" s="56"/>
      <c r="K77" s="74"/>
      <c r="L77" s="57"/>
      <c r="M77" s="58"/>
      <c r="N77" s="61"/>
      <c r="O77" s="58"/>
      <c r="P77" s="58"/>
      <c r="Q77" s="73"/>
      <c r="R77" s="61"/>
      <c r="S77" s="42"/>
      <c r="T77" s="42"/>
      <c r="U77" s="36"/>
    </row>
    <row r="78" spans="2:21" x14ac:dyDescent="0.2">
      <c r="B78" s="10"/>
      <c r="C78" s="38"/>
      <c r="D78" s="38"/>
      <c r="E78" s="38"/>
      <c r="F78" s="38"/>
      <c r="G78" s="43"/>
      <c r="H78" s="10"/>
      <c r="I78" s="56"/>
      <c r="J78" s="56"/>
      <c r="K78" s="74"/>
      <c r="L78" s="57"/>
      <c r="M78" s="32"/>
      <c r="N78" s="44"/>
      <c r="O78" s="58"/>
      <c r="P78" s="69"/>
      <c r="Q78" s="34"/>
      <c r="R78" s="44"/>
      <c r="S78" s="45"/>
    </row>
    <row r="79" spans="2:21" x14ac:dyDescent="0.2">
      <c r="B79" s="28" t="str">
        <f>"Total " &amp; B74</f>
        <v>Total Pool Charges</v>
      </c>
      <c r="C79" s="46"/>
      <c r="D79" s="47"/>
      <c r="E79" s="48"/>
      <c r="F79" s="48"/>
      <c r="G79" s="17"/>
      <c r="H79" s="20"/>
      <c r="I79" s="59">
        <f>SUM(I75:I78)</f>
        <v>0</v>
      </c>
      <c r="J79" s="50"/>
      <c r="K79" s="51"/>
      <c r="L79" s="51"/>
      <c r="M79" s="51"/>
      <c r="N79" s="33">
        <f>SUM(N75:N78)</f>
        <v>0</v>
      </c>
      <c r="O79" s="51"/>
      <c r="P79" s="51"/>
      <c r="Q79" s="51"/>
      <c r="R79" s="33">
        <f>SUM(R75:R78)</f>
        <v>0</v>
      </c>
      <c r="S79" s="42"/>
      <c r="T79" s="42"/>
      <c r="U79" s="36" t="str">
        <f>IF(N79=0,"N/A",R79/N79-1)</f>
        <v>N/A</v>
      </c>
    </row>
    <row r="80" spans="2:21" x14ac:dyDescent="0.2">
      <c r="B80" s="18"/>
      <c r="C80" s="46"/>
      <c r="D80" s="47"/>
      <c r="E80" s="48"/>
      <c r="F80" s="48"/>
      <c r="G80" s="17"/>
      <c r="H80" s="20"/>
      <c r="I80" s="52"/>
      <c r="J80" s="52"/>
      <c r="K80" s="51"/>
      <c r="L80" s="51"/>
      <c r="M80" s="51"/>
      <c r="N80" s="33"/>
      <c r="O80" s="51"/>
      <c r="P80" s="51"/>
      <c r="Q80" s="51"/>
      <c r="R80" s="33"/>
      <c r="S80" s="42"/>
      <c r="T80" s="42"/>
      <c r="U80" s="36"/>
    </row>
    <row r="81" spans="2:21" x14ac:dyDescent="0.2">
      <c r="B81" s="24" t="s">
        <v>83</v>
      </c>
      <c r="C81" s="46"/>
      <c r="D81" s="47"/>
      <c r="E81" s="48"/>
      <c r="F81" s="48"/>
      <c r="G81" s="17"/>
      <c r="H81" s="20"/>
      <c r="I81" s="50"/>
      <c r="J81" s="50"/>
      <c r="K81" s="51"/>
      <c r="L81" s="51"/>
      <c r="M81" s="51"/>
      <c r="N81" s="33"/>
      <c r="O81" s="51"/>
      <c r="P81" s="51"/>
      <c r="Q81" s="51"/>
      <c r="R81" s="33"/>
      <c r="S81" s="42"/>
      <c r="T81" s="42"/>
      <c r="U81" s="36"/>
    </row>
    <row r="82" spans="2:21" x14ac:dyDescent="0.2">
      <c r="B82" s="54" t="s">
        <v>84</v>
      </c>
      <c r="C82" s="26">
        <v>0</v>
      </c>
      <c r="D82" s="27" t="s">
        <v>63</v>
      </c>
      <c r="E82" s="27" t="s">
        <v>63</v>
      </c>
      <c r="F82" s="27" t="s">
        <v>63</v>
      </c>
      <c r="G82" s="70"/>
      <c r="H82" s="27" t="s">
        <v>77</v>
      </c>
      <c r="I82" s="55">
        <v>0</v>
      </c>
      <c r="J82" s="55"/>
      <c r="K82" s="71">
        <v>0</v>
      </c>
      <c r="L82" s="72">
        <v>0</v>
      </c>
      <c r="M82" s="58">
        <f>K82+L82</f>
        <v>0</v>
      </c>
      <c r="N82" s="61">
        <f>ROUND(M82*I82,2)</f>
        <v>0</v>
      </c>
      <c r="O82" s="58">
        <f>ROUND(K82*(1+S82),2)</f>
        <v>0</v>
      </c>
      <c r="P82" s="58">
        <f>ROUND(K82*T82,2)</f>
        <v>0</v>
      </c>
      <c r="Q82" s="73">
        <f>O82+P82</f>
        <v>0</v>
      </c>
      <c r="R82" s="61">
        <f>ROUND(Q82*I82,2)</f>
        <v>0</v>
      </c>
      <c r="S82" s="35">
        <v>0</v>
      </c>
      <c r="T82" s="35">
        <v>0</v>
      </c>
      <c r="U82" s="36" t="str">
        <f>IF(M82=0,"N/A",Q82/M82-1)</f>
        <v>N/A</v>
      </c>
    </row>
    <row r="83" spans="2:21" x14ac:dyDescent="0.2">
      <c r="B83" s="54" t="s">
        <v>84</v>
      </c>
      <c r="C83" s="26">
        <v>0</v>
      </c>
      <c r="D83" s="27" t="s">
        <v>63</v>
      </c>
      <c r="E83" s="27" t="s">
        <v>63</v>
      </c>
      <c r="F83" s="27" t="s">
        <v>63</v>
      </c>
      <c r="G83" s="70"/>
      <c r="H83" s="27" t="s">
        <v>78</v>
      </c>
      <c r="I83" s="55">
        <v>0</v>
      </c>
      <c r="J83" s="55"/>
      <c r="K83" s="71">
        <v>0</v>
      </c>
      <c r="L83" s="72">
        <v>0</v>
      </c>
      <c r="M83" s="58">
        <f>K83+L83</f>
        <v>0</v>
      </c>
      <c r="N83" s="61">
        <f>ROUND(M83*I83,2)</f>
        <v>0</v>
      </c>
      <c r="O83" s="58">
        <f>ROUND(K83*(1+S83),2)</f>
        <v>0</v>
      </c>
      <c r="P83" s="58">
        <f>ROUND(K83*T83,2)</f>
        <v>0</v>
      </c>
      <c r="Q83" s="73">
        <f>O83+P83</f>
        <v>0</v>
      </c>
      <c r="R83" s="61">
        <f>ROUND(Q83*I83,2)</f>
        <v>0</v>
      </c>
      <c r="S83" s="35">
        <v>0</v>
      </c>
      <c r="T83" s="35">
        <v>0</v>
      </c>
      <c r="U83" s="36" t="str">
        <f>IF(M83=0,"N/A",Q83/M83-1)</f>
        <v>N/A</v>
      </c>
    </row>
    <row r="84" spans="2:21" x14ac:dyDescent="0.2">
      <c r="B84" s="10"/>
      <c r="C84" s="38"/>
      <c r="D84" s="38"/>
      <c r="E84" s="38"/>
      <c r="F84" s="38"/>
      <c r="G84" s="43"/>
      <c r="H84" s="10"/>
      <c r="I84" s="56"/>
      <c r="J84" s="56"/>
      <c r="K84" s="74"/>
      <c r="L84" s="57"/>
      <c r="M84" s="58"/>
      <c r="N84" s="61"/>
      <c r="O84" s="58"/>
      <c r="P84" s="58"/>
      <c r="Q84" s="73"/>
      <c r="R84" s="61"/>
      <c r="S84" s="42"/>
      <c r="T84" s="42"/>
      <c r="U84" s="36"/>
    </row>
    <row r="85" spans="2:21" x14ac:dyDescent="0.2">
      <c r="B85" s="10"/>
      <c r="C85" s="38"/>
      <c r="D85" s="38"/>
      <c r="E85" s="38"/>
      <c r="F85" s="38"/>
      <c r="G85" s="43"/>
      <c r="H85" s="10"/>
      <c r="I85" s="56"/>
      <c r="J85" s="56"/>
      <c r="K85" s="74"/>
      <c r="L85" s="57"/>
      <c r="M85" s="32"/>
      <c r="N85" s="44"/>
      <c r="O85" s="58"/>
      <c r="P85" s="69"/>
      <c r="Q85" s="34"/>
      <c r="R85" s="44"/>
      <c r="S85" s="45"/>
    </row>
    <row r="86" spans="2:21" x14ac:dyDescent="0.2">
      <c r="B86" s="28" t="str">
        <f>"Total " &amp; B81</f>
        <v>Total Dental Care</v>
      </c>
      <c r="C86" s="46"/>
      <c r="D86" s="47"/>
      <c r="E86" s="48"/>
      <c r="F86" s="48"/>
      <c r="G86" s="17"/>
      <c r="H86" s="20"/>
      <c r="I86" s="59">
        <f>SUM(I82:I85)</f>
        <v>0</v>
      </c>
      <c r="J86" s="50"/>
      <c r="K86" s="51"/>
      <c r="L86" s="51"/>
      <c r="M86" s="51"/>
      <c r="N86" s="33">
        <f>SUM(N82:N85)</f>
        <v>0</v>
      </c>
      <c r="O86" s="51"/>
      <c r="P86" s="51"/>
      <c r="Q86" s="51"/>
      <c r="R86" s="33">
        <f>SUM(R82:R85)</f>
        <v>0</v>
      </c>
      <c r="S86" s="42"/>
      <c r="T86" s="42"/>
      <c r="U86" s="36" t="str">
        <f>IF(N86=0,"N/A",R86/N86-1)</f>
        <v>N/A</v>
      </c>
    </row>
    <row r="87" spans="2:21" x14ac:dyDescent="0.2">
      <c r="B87" s="17"/>
      <c r="C87" s="46"/>
      <c r="D87" s="47"/>
      <c r="E87" s="48"/>
      <c r="F87" s="48"/>
      <c r="G87" s="17"/>
      <c r="H87" s="20"/>
      <c r="I87" s="52"/>
      <c r="J87" s="52"/>
      <c r="K87" s="51"/>
      <c r="L87" s="51"/>
      <c r="M87" s="51"/>
      <c r="N87" s="53"/>
      <c r="O87" s="51"/>
      <c r="P87" s="51"/>
      <c r="Q87" s="51"/>
      <c r="R87" s="53"/>
      <c r="S87" s="36"/>
    </row>
    <row r="88" spans="2:21" x14ac:dyDescent="0.2">
      <c r="B88" s="24" t="s">
        <v>17</v>
      </c>
      <c r="C88" s="60"/>
      <c r="D88" s="47"/>
      <c r="E88" s="47"/>
      <c r="F88" s="47"/>
      <c r="G88" s="18"/>
      <c r="H88" s="10"/>
      <c r="I88" s="23"/>
      <c r="J88" s="23"/>
      <c r="K88" s="12"/>
      <c r="L88" s="12"/>
      <c r="M88" s="12"/>
      <c r="N88" s="13"/>
      <c r="O88" s="12"/>
      <c r="P88" s="12"/>
      <c r="Q88" s="12"/>
      <c r="R88" s="13"/>
      <c r="S88" s="14"/>
    </row>
    <row r="89" spans="2:21" x14ac:dyDescent="0.2">
      <c r="B89" s="54" t="s">
        <v>17</v>
      </c>
      <c r="C89" s="26">
        <v>0</v>
      </c>
      <c r="D89" s="26">
        <v>0</v>
      </c>
      <c r="E89" s="27" t="s">
        <v>63</v>
      </c>
      <c r="F89" s="27" t="s">
        <v>63</v>
      </c>
      <c r="G89" s="70"/>
      <c r="H89" s="27" t="s">
        <v>67</v>
      </c>
      <c r="I89" s="55">
        <v>0</v>
      </c>
      <c r="J89" s="55"/>
      <c r="K89" s="72">
        <v>0</v>
      </c>
      <c r="L89" s="72"/>
      <c r="M89" s="58">
        <f>K89</f>
        <v>0</v>
      </c>
      <c r="N89" s="61">
        <f>ROUND(M89*I89,2)</f>
        <v>0</v>
      </c>
      <c r="O89" s="58">
        <f>ROUND(K89*(1+S89),2)</f>
        <v>0</v>
      </c>
      <c r="P89" s="58"/>
      <c r="Q89" s="51">
        <f>O89+P89</f>
        <v>0</v>
      </c>
      <c r="R89" s="61">
        <f>ROUND(Q89*I89,2)</f>
        <v>0</v>
      </c>
      <c r="S89" s="35">
        <v>0</v>
      </c>
      <c r="T89" s="35"/>
      <c r="U89" s="36" t="str">
        <f>IF(M89=0,"N/A",Q89/M89-1)</f>
        <v>N/A</v>
      </c>
    </row>
    <row r="90" spans="2:21" x14ac:dyDescent="0.2">
      <c r="B90" s="10"/>
      <c r="C90" s="38"/>
      <c r="D90" s="38"/>
      <c r="E90" s="38"/>
      <c r="F90" s="38"/>
      <c r="G90" s="43"/>
      <c r="H90" s="10"/>
      <c r="I90" s="56"/>
      <c r="J90" s="56"/>
      <c r="K90" s="57"/>
      <c r="L90" s="57"/>
      <c r="M90" s="58"/>
      <c r="N90" s="61"/>
      <c r="O90" s="58"/>
      <c r="P90" s="58"/>
      <c r="Q90" s="51"/>
      <c r="R90" s="61"/>
      <c r="S90" s="42"/>
      <c r="T90" s="42"/>
      <c r="U90" s="36"/>
    </row>
    <row r="91" spans="2:21" x14ac:dyDescent="0.2">
      <c r="B91" s="10"/>
      <c r="C91" s="38"/>
      <c r="D91" s="38"/>
      <c r="E91" s="38"/>
      <c r="F91" s="38"/>
      <c r="G91" s="43"/>
      <c r="H91" s="10"/>
      <c r="I91" s="56"/>
      <c r="J91" s="56"/>
      <c r="K91" s="57"/>
      <c r="L91" s="57"/>
      <c r="M91" s="32"/>
      <c r="N91" s="44"/>
      <c r="O91" s="58"/>
      <c r="P91" s="69"/>
      <c r="Q91" s="69"/>
      <c r="R91" s="44"/>
      <c r="S91" s="45"/>
    </row>
    <row r="92" spans="2:21" x14ac:dyDescent="0.2">
      <c r="B92" s="28" t="str">
        <f>"Total " &amp; B88</f>
        <v>Total Critical Illness</v>
      </c>
      <c r="C92" s="46"/>
      <c r="D92" s="47"/>
      <c r="E92" s="48"/>
      <c r="F92" s="48"/>
      <c r="G92" s="17"/>
      <c r="H92" s="20"/>
      <c r="I92" s="50">
        <f>SUM(I89:I91)</f>
        <v>0</v>
      </c>
      <c r="J92" s="50"/>
      <c r="K92" s="51"/>
      <c r="L92" s="51"/>
      <c r="M92" s="51"/>
      <c r="N92" s="33">
        <f>SUM(N89:N91)</f>
        <v>0</v>
      </c>
      <c r="O92" s="51"/>
      <c r="P92" s="51"/>
      <c r="Q92" s="51"/>
      <c r="R92" s="33">
        <f>SUM(R89:R91)</f>
        <v>0</v>
      </c>
      <c r="S92" s="42"/>
      <c r="T92" s="42"/>
      <c r="U92" s="36" t="str">
        <f>IF(N92=0,"N/A",R92/N92-1)</f>
        <v>N/A</v>
      </c>
    </row>
    <row r="93" spans="2:21" x14ac:dyDescent="0.2">
      <c r="B93" s="18"/>
      <c r="C93" s="46"/>
      <c r="D93" s="47"/>
      <c r="E93" s="48"/>
      <c r="F93" s="48"/>
      <c r="G93" s="17"/>
      <c r="H93" s="20"/>
      <c r="I93" s="50"/>
      <c r="J93" s="50"/>
      <c r="K93" s="51"/>
      <c r="L93" s="51"/>
      <c r="M93" s="51"/>
      <c r="N93" s="33"/>
      <c r="O93" s="51"/>
      <c r="P93" s="51"/>
      <c r="Q93" s="51"/>
      <c r="R93" s="33"/>
      <c r="S93" s="42"/>
      <c r="T93" s="42"/>
      <c r="U93" s="36"/>
    </row>
    <row r="94" spans="2:21" x14ac:dyDescent="0.2">
      <c r="B94" s="24" t="s">
        <v>85</v>
      </c>
      <c r="C94" s="60"/>
      <c r="D94" s="47"/>
      <c r="E94" s="47"/>
      <c r="F94" s="47"/>
      <c r="G94" s="18"/>
      <c r="H94" s="10"/>
      <c r="I94" s="23"/>
      <c r="J94" s="23"/>
      <c r="K94" s="12"/>
      <c r="L94" s="12"/>
      <c r="M94" s="12"/>
      <c r="N94" s="13"/>
      <c r="O94" s="12"/>
      <c r="P94" s="12"/>
      <c r="Q94" s="12"/>
      <c r="R94" s="13"/>
      <c r="S94" s="14"/>
    </row>
    <row r="95" spans="2:21" x14ac:dyDescent="0.2">
      <c r="B95" s="54" t="s">
        <v>85</v>
      </c>
      <c r="C95" s="26">
        <v>0</v>
      </c>
      <c r="D95" s="26">
        <v>0</v>
      </c>
      <c r="E95" s="27" t="s">
        <v>63</v>
      </c>
      <c r="F95" s="27" t="s">
        <v>63</v>
      </c>
      <c r="G95" s="70"/>
      <c r="H95" s="27" t="s">
        <v>67</v>
      </c>
      <c r="I95" s="55">
        <v>0</v>
      </c>
      <c r="J95" s="55"/>
      <c r="K95" s="72">
        <v>0</v>
      </c>
      <c r="L95" s="72"/>
      <c r="M95" s="58">
        <f>K95</f>
        <v>0</v>
      </c>
      <c r="N95" s="61">
        <f>ROUND(M95*I95,2)</f>
        <v>0</v>
      </c>
      <c r="O95" s="58">
        <f>ROUND(K95*(1+S95),2)</f>
        <v>0</v>
      </c>
      <c r="P95" s="58"/>
      <c r="Q95" s="51">
        <f>O95+P95</f>
        <v>0</v>
      </c>
      <c r="R95" s="61">
        <f>ROUND(Q95*I95,2)</f>
        <v>0</v>
      </c>
      <c r="S95" s="35">
        <v>0</v>
      </c>
      <c r="T95" s="35"/>
      <c r="U95" s="36" t="str">
        <f>IF(M95=0,"N/A",Q95/M95-1)</f>
        <v>N/A</v>
      </c>
    </row>
    <row r="96" spans="2:21" x14ac:dyDescent="0.2">
      <c r="B96" s="10"/>
      <c r="C96" s="38"/>
      <c r="D96" s="38"/>
      <c r="E96" s="38"/>
      <c r="F96" s="38"/>
      <c r="G96" s="43"/>
      <c r="H96" s="10"/>
      <c r="I96" s="56"/>
      <c r="J96" s="56"/>
      <c r="K96" s="57"/>
      <c r="L96" s="57"/>
      <c r="M96" s="58"/>
      <c r="N96" s="61"/>
      <c r="O96" s="58"/>
      <c r="P96" s="58"/>
      <c r="Q96" s="51"/>
      <c r="R96" s="61"/>
      <c r="S96" s="42"/>
      <c r="T96" s="42"/>
      <c r="U96" s="36"/>
    </row>
    <row r="97" spans="2:21" x14ac:dyDescent="0.2">
      <c r="B97" s="10"/>
      <c r="C97" s="38"/>
      <c r="D97" s="38"/>
      <c r="E97" s="38"/>
      <c r="F97" s="38"/>
      <c r="G97" s="43"/>
      <c r="H97" s="10"/>
      <c r="I97" s="56"/>
      <c r="J97" s="56"/>
      <c r="K97" s="57"/>
      <c r="L97" s="57"/>
      <c r="M97" s="32"/>
      <c r="N97" s="44"/>
      <c r="O97" s="58"/>
      <c r="P97" s="69"/>
      <c r="Q97" s="69"/>
      <c r="R97" s="44"/>
      <c r="S97" s="45"/>
    </row>
    <row r="98" spans="2:21" x14ac:dyDescent="0.2">
      <c r="B98" s="28" t="str">
        <f>"Total " &amp; B94</f>
        <v>Total Employee &amp; Family Assistance</v>
      </c>
      <c r="C98" s="46"/>
      <c r="D98" s="47"/>
      <c r="E98" s="48"/>
      <c r="F98" s="48"/>
      <c r="G98" s="17"/>
      <c r="H98" s="20"/>
      <c r="I98" s="50">
        <f>SUM(I95:I97)</f>
        <v>0</v>
      </c>
      <c r="J98" s="50"/>
      <c r="K98" s="51"/>
      <c r="L98" s="51"/>
      <c r="M98" s="51"/>
      <c r="N98" s="33">
        <f>SUM(N95:N97)</f>
        <v>0</v>
      </c>
      <c r="O98" s="51"/>
      <c r="P98" s="51"/>
      <c r="Q98" s="51"/>
      <c r="R98" s="33">
        <f>SUM(R95:R97)</f>
        <v>0</v>
      </c>
      <c r="S98" s="42"/>
      <c r="T98" s="42"/>
      <c r="U98" s="36" t="str">
        <f>IF(N98=0,"N/A",R98/N98-1)</f>
        <v>N/A</v>
      </c>
    </row>
    <row r="99" spans="2:21" x14ac:dyDescent="0.2">
      <c r="B99" s="18"/>
      <c r="C99" s="46"/>
      <c r="D99" s="47"/>
      <c r="E99" s="48"/>
      <c r="F99" s="48"/>
      <c r="G99" s="17"/>
      <c r="H99" s="20"/>
      <c r="I99" s="50"/>
      <c r="J99" s="50"/>
      <c r="K99" s="51"/>
      <c r="L99" s="51"/>
      <c r="M99" s="51"/>
      <c r="N99" s="33"/>
      <c r="O99" s="51"/>
      <c r="P99" s="51"/>
      <c r="Q99" s="51"/>
      <c r="R99" s="33"/>
      <c r="S99" s="42"/>
      <c r="T99" s="42"/>
      <c r="U99" s="36"/>
    </row>
    <row r="100" spans="2:21" x14ac:dyDescent="0.2">
      <c r="B100" s="24" t="s">
        <v>86</v>
      </c>
      <c r="C100" s="60"/>
      <c r="D100" s="47"/>
      <c r="E100" s="47"/>
      <c r="F100" s="47"/>
      <c r="G100" s="18"/>
      <c r="H100" s="10"/>
      <c r="I100" s="23"/>
      <c r="J100" s="23"/>
      <c r="K100" s="12"/>
      <c r="L100" s="12"/>
      <c r="M100" s="12"/>
      <c r="N100" s="13"/>
      <c r="O100" s="12"/>
      <c r="P100" s="12"/>
      <c r="Q100" s="12"/>
      <c r="R100" s="13"/>
      <c r="S100" s="14"/>
    </row>
    <row r="101" spans="2:21" x14ac:dyDescent="0.2">
      <c r="B101" s="54" t="s">
        <v>86</v>
      </c>
      <c r="C101" s="26">
        <v>0</v>
      </c>
      <c r="D101" s="26">
        <v>0</v>
      </c>
      <c r="E101" s="27" t="s">
        <v>63</v>
      </c>
      <c r="F101" s="27" t="s">
        <v>63</v>
      </c>
      <c r="G101" s="70"/>
      <c r="H101" s="27" t="s">
        <v>67</v>
      </c>
      <c r="I101" s="55">
        <v>0</v>
      </c>
      <c r="J101" s="55"/>
      <c r="K101" s="72">
        <v>0</v>
      </c>
      <c r="L101" s="72"/>
      <c r="M101" s="58">
        <f>K101</f>
        <v>0</v>
      </c>
      <c r="N101" s="61">
        <f>ROUND(M101*I101,2)</f>
        <v>0</v>
      </c>
      <c r="O101" s="58">
        <f>ROUND(K101*(1+S101),2)</f>
        <v>0</v>
      </c>
      <c r="P101" s="58"/>
      <c r="Q101" s="51">
        <f>O101+P101</f>
        <v>0</v>
      </c>
      <c r="R101" s="61">
        <f>ROUND(Q101*I101,2)</f>
        <v>0</v>
      </c>
      <c r="S101" s="35">
        <v>0</v>
      </c>
      <c r="T101" s="35"/>
      <c r="U101" s="36" t="str">
        <f>IF(M101=0,"N/A",Q101/M101-1)</f>
        <v>N/A</v>
      </c>
    </row>
    <row r="102" spans="2:21" x14ac:dyDescent="0.2">
      <c r="B102" s="54"/>
      <c r="C102" s="26"/>
      <c r="D102" s="26"/>
      <c r="E102" s="27"/>
      <c r="F102" s="27"/>
      <c r="G102" s="70"/>
      <c r="H102" s="27"/>
      <c r="I102" s="55"/>
      <c r="J102" s="55"/>
      <c r="K102" s="72"/>
      <c r="L102" s="72"/>
      <c r="M102" s="58"/>
      <c r="N102" s="61"/>
      <c r="O102" s="58"/>
      <c r="P102" s="58"/>
      <c r="Q102" s="51"/>
      <c r="R102" s="61"/>
      <c r="S102" s="35"/>
      <c r="T102" s="35"/>
      <c r="U102" s="36"/>
    </row>
    <row r="103" spans="2:21" x14ac:dyDescent="0.2">
      <c r="B103" s="10"/>
      <c r="C103" s="38"/>
      <c r="D103" s="38"/>
      <c r="E103" s="38"/>
      <c r="F103" s="38"/>
      <c r="G103" s="43"/>
      <c r="H103" s="10"/>
      <c r="I103" s="56"/>
      <c r="J103" s="56"/>
      <c r="K103" s="57"/>
      <c r="L103" s="57"/>
      <c r="M103" s="32"/>
      <c r="N103" s="44"/>
      <c r="O103" s="58"/>
      <c r="P103" s="69"/>
      <c r="Q103" s="69"/>
      <c r="R103" s="44"/>
      <c r="S103" s="45"/>
    </row>
    <row r="104" spans="2:21" x14ac:dyDescent="0.2">
      <c r="B104" s="28" t="str">
        <f>"Total " &amp; B100</f>
        <v>Total HealthCare Online</v>
      </c>
      <c r="C104" s="46"/>
      <c r="D104" s="47"/>
      <c r="E104" s="48"/>
      <c r="F104" s="48"/>
      <c r="G104" s="17"/>
      <c r="H104" s="20"/>
      <c r="I104" s="50">
        <f>SUM(I101:I103)</f>
        <v>0</v>
      </c>
      <c r="J104" s="50"/>
      <c r="K104" s="51"/>
      <c r="L104" s="51"/>
      <c r="M104" s="51"/>
      <c r="N104" s="33">
        <f>SUM(N101:N103)</f>
        <v>0</v>
      </c>
      <c r="O104" s="51"/>
      <c r="P104" s="51"/>
      <c r="Q104" s="51"/>
      <c r="R104" s="33">
        <f>SUM(R101:R103)</f>
        <v>0</v>
      </c>
      <c r="S104" s="42"/>
      <c r="T104" s="42"/>
      <c r="U104" s="36" t="str">
        <f>IF(N104=0,"N/A",R104/N104-1)</f>
        <v>N/A</v>
      </c>
    </row>
    <row r="105" spans="2:21" x14ac:dyDescent="0.2">
      <c r="B105" s="18"/>
      <c r="C105" s="46"/>
      <c r="D105" s="47"/>
      <c r="E105" s="48"/>
      <c r="F105" s="48"/>
      <c r="G105" s="17"/>
      <c r="H105" s="20"/>
      <c r="I105" s="50"/>
      <c r="J105" s="50"/>
      <c r="K105" s="51"/>
      <c r="L105" s="51"/>
      <c r="M105" s="51"/>
      <c r="N105" s="33"/>
      <c r="O105" s="51"/>
      <c r="P105" s="51"/>
      <c r="Q105" s="51"/>
      <c r="R105" s="33"/>
      <c r="S105" s="42"/>
      <c r="T105" s="42"/>
      <c r="U105" s="36"/>
    </row>
    <row r="106" spans="2:21" x14ac:dyDescent="0.2">
      <c r="B106" s="24" t="s">
        <v>106</v>
      </c>
      <c r="C106" s="60"/>
      <c r="D106" s="47"/>
      <c r="E106" s="47"/>
      <c r="F106" s="47"/>
      <c r="G106" s="18"/>
      <c r="H106" s="10"/>
      <c r="I106" s="23"/>
      <c r="J106" s="23"/>
      <c r="K106" s="12"/>
      <c r="L106" s="12"/>
      <c r="M106" s="12"/>
      <c r="N106" s="13"/>
      <c r="O106" s="12"/>
      <c r="P106" s="12"/>
      <c r="Q106" s="12"/>
      <c r="R106" s="13"/>
      <c r="S106" s="14"/>
    </row>
    <row r="107" spans="2:21" x14ac:dyDescent="0.2">
      <c r="B107" s="54" t="s">
        <v>107</v>
      </c>
      <c r="C107" s="26">
        <v>0</v>
      </c>
      <c r="D107" s="26">
        <v>0</v>
      </c>
      <c r="E107" s="27" t="s">
        <v>63</v>
      </c>
      <c r="F107" s="27" t="s">
        <v>63</v>
      </c>
      <c r="G107" s="70"/>
      <c r="H107" s="27" t="s">
        <v>67</v>
      </c>
      <c r="I107" s="55">
        <v>0</v>
      </c>
      <c r="J107" s="55"/>
      <c r="K107" s="72">
        <v>0</v>
      </c>
      <c r="L107" s="72"/>
      <c r="M107" s="58">
        <f>K107</f>
        <v>0</v>
      </c>
      <c r="N107" s="61">
        <f>ROUND(M107*I107,2)</f>
        <v>0</v>
      </c>
      <c r="O107" s="58">
        <f>ROUND(K107*(1+S107),2)</f>
        <v>0</v>
      </c>
      <c r="P107" s="58"/>
      <c r="Q107" s="51">
        <f>O107</f>
        <v>0</v>
      </c>
      <c r="R107" s="61">
        <f>ROUND(Q107*I107,2)</f>
        <v>0</v>
      </c>
      <c r="S107" s="35">
        <v>0</v>
      </c>
      <c r="T107" s="35"/>
      <c r="U107" s="36" t="str">
        <f>IF(M107=0,"N/A",Q107/M107-1)</f>
        <v>N/A</v>
      </c>
    </row>
    <row r="108" spans="2:21" x14ac:dyDescent="0.2">
      <c r="B108" s="54" t="s">
        <v>108</v>
      </c>
      <c r="C108" s="26">
        <v>0</v>
      </c>
      <c r="D108" s="26">
        <v>0</v>
      </c>
      <c r="E108" s="27" t="s">
        <v>63</v>
      </c>
      <c r="F108" s="27" t="s">
        <v>63</v>
      </c>
      <c r="G108" s="70"/>
      <c r="H108" s="27" t="s">
        <v>67</v>
      </c>
      <c r="I108" s="55">
        <v>0</v>
      </c>
      <c r="J108" s="55"/>
      <c r="K108" s="72">
        <v>0</v>
      </c>
      <c r="L108" s="72"/>
      <c r="M108" s="58">
        <f>K108</f>
        <v>0</v>
      </c>
      <c r="N108" s="61">
        <f>ROUND(M108*I108,2)</f>
        <v>0</v>
      </c>
      <c r="O108" s="58">
        <f>ROUND(K108*(1+S108),2)</f>
        <v>0</v>
      </c>
      <c r="P108" s="58"/>
      <c r="Q108" s="51">
        <f>O108</f>
        <v>0</v>
      </c>
      <c r="R108" s="61">
        <f>ROUND(Q108*I108,2)</f>
        <v>0</v>
      </c>
      <c r="S108" s="35">
        <v>0</v>
      </c>
      <c r="T108" s="35"/>
      <c r="U108" s="36" t="str">
        <f>IF(M108=0,"N/A",Q108/M108-1)</f>
        <v>N/A</v>
      </c>
    </row>
    <row r="109" spans="2:21" x14ac:dyDescent="0.2">
      <c r="B109" s="54" t="s">
        <v>109</v>
      </c>
      <c r="C109" s="26">
        <v>0</v>
      </c>
      <c r="D109" s="26">
        <v>0</v>
      </c>
      <c r="E109" s="27" t="s">
        <v>63</v>
      </c>
      <c r="F109" s="27" t="s">
        <v>63</v>
      </c>
      <c r="G109" s="70"/>
      <c r="H109" s="27" t="s">
        <v>67</v>
      </c>
      <c r="I109" s="55">
        <v>0</v>
      </c>
      <c r="J109" s="55"/>
      <c r="K109" s="72">
        <v>0</v>
      </c>
      <c r="L109" s="72"/>
      <c r="M109" s="58">
        <f>K109</f>
        <v>0</v>
      </c>
      <c r="N109" s="61">
        <f>ROUND(M109*I109,2)</f>
        <v>0</v>
      </c>
      <c r="O109" s="58">
        <f>ROUND(K109*(1+S109),2)</f>
        <v>0</v>
      </c>
      <c r="P109" s="58"/>
      <c r="Q109" s="51">
        <f>O109</f>
        <v>0</v>
      </c>
      <c r="R109" s="61">
        <f>ROUND(Q109*I109,2)</f>
        <v>0</v>
      </c>
      <c r="S109" s="35">
        <v>0</v>
      </c>
      <c r="T109" s="35"/>
      <c r="U109" s="36" t="str">
        <f>IF(M109=0,"N/A",Q109/M109-1)</f>
        <v>N/A</v>
      </c>
    </row>
    <row r="110" spans="2:21" ht="25.5" customHeight="1" x14ac:dyDescent="0.2">
      <c r="B110" s="111" t="s">
        <v>111</v>
      </c>
      <c r="C110" s="26">
        <v>0</v>
      </c>
      <c r="D110" s="26">
        <v>0</v>
      </c>
      <c r="E110" s="27" t="s">
        <v>63</v>
      </c>
      <c r="F110" s="27" t="s">
        <v>63</v>
      </c>
      <c r="G110" s="70"/>
      <c r="H110" s="27" t="s">
        <v>67</v>
      </c>
      <c r="I110" s="55">
        <v>0</v>
      </c>
      <c r="J110" s="55"/>
      <c r="K110" s="72">
        <v>0</v>
      </c>
      <c r="L110" s="72"/>
      <c r="M110" s="58">
        <f>K110</f>
        <v>0</v>
      </c>
      <c r="N110" s="61">
        <f>ROUND(M110*I110,2)</f>
        <v>0</v>
      </c>
      <c r="O110" s="58">
        <f>ROUND(K110*(1+S110),2)</f>
        <v>0</v>
      </c>
      <c r="P110" s="58"/>
      <c r="Q110" s="51">
        <f>O110</f>
        <v>0</v>
      </c>
      <c r="R110" s="61">
        <f>ROUND(Q110*I110,2)</f>
        <v>0</v>
      </c>
      <c r="S110" s="35">
        <v>0</v>
      </c>
      <c r="T110" s="35"/>
      <c r="U110" s="36" t="str">
        <f>IF(M110=0,"N/A",Q110/M110-1)</f>
        <v>N/A</v>
      </c>
    </row>
    <row r="111" spans="2:21" x14ac:dyDescent="0.2">
      <c r="B111" s="54" t="s">
        <v>110</v>
      </c>
      <c r="C111" s="26">
        <v>0</v>
      </c>
      <c r="D111" s="26">
        <v>0</v>
      </c>
      <c r="E111" s="27" t="s">
        <v>63</v>
      </c>
      <c r="F111" s="27" t="s">
        <v>63</v>
      </c>
      <c r="G111" s="70"/>
      <c r="H111" s="27" t="s">
        <v>67</v>
      </c>
      <c r="I111" s="55">
        <v>0</v>
      </c>
      <c r="J111" s="55"/>
      <c r="K111" s="72">
        <v>0</v>
      </c>
      <c r="L111" s="72"/>
      <c r="M111" s="58">
        <f>K111</f>
        <v>0</v>
      </c>
      <c r="N111" s="61">
        <f>ROUND(M111*I111,2)</f>
        <v>0</v>
      </c>
      <c r="O111" s="58">
        <f>ROUND(K111*(1+S111),2)</f>
        <v>0</v>
      </c>
      <c r="P111" s="58"/>
      <c r="Q111" s="51">
        <f>O111</f>
        <v>0</v>
      </c>
      <c r="R111" s="61">
        <f>ROUND(Q111*I111,2)</f>
        <v>0</v>
      </c>
      <c r="S111" s="35">
        <v>0</v>
      </c>
      <c r="T111" s="35"/>
      <c r="U111" s="36" t="str">
        <f>IF(M111=0,"N/A",Q111/M111-1)</f>
        <v>N/A</v>
      </c>
    </row>
    <row r="112" spans="2:21" x14ac:dyDescent="0.2">
      <c r="B112" s="10"/>
      <c r="C112" s="38"/>
      <c r="D112" s="38"/>
      <c r="E112" s="38"/>
      <c r="F112" s="38"/>
      <c r="G112" s="43"/>
      <c r="H112" s="10"/>
      <c r="I112" s="56"/>
      <c r="J112" s="56"/>
      <c r="K112" s="57"/>
      <c r="L112" s="57"/>
      <c r="M112" s="58"/>
      <c r="N112" s="61"/>
      <c r="O112" s="58"/>
      <c r="P112" s="58"/>
      <c r="Q112" s="51"/>
      <c r="R112" s="61"/>
      <c r="S112" s="42"/>
      <c r="T112" s="42"/>
      <c r="U112" s="36"/>
    </row>
    <row r="113" spans="2:21" x14ac:dyDescent="0.2">
      <c r="B113" s="10"/>
      <c r="C113" s="38"/>
      <c r="D113" s="38"/>
      <c r="E113" s="38"/>
      <c r="F113" s="38"/>
      <c r="G113" s="43"/>
      <c r="H113" s="10"/>
      <c r="I113" s="56"/>
      <c r="J113" s="56"/>
      <c r="K113" s="57"/>
      <c r="L113" s="57"/>
      <c r="M113" s="32"/>
      <c r="N113" s="44"/>
      <c r="O113" s="58"/>
      <c r="P113" s="69"/>
      <c r="Q113" s="69"/>
      <c r="R113" s="44"/>
      <c r="S113" s="45"/>
    </row>
    <row r="114" spans="2:21" x14ac:dyDescent="0.2">
      <c r="B114" s="28" t="str">
        <f>"Total " &amp; B106</f>
        <v>Total Women's &amp; Family Health</v>
      </c>
      <c r="C114" s="46"/>
      <c r="D114" s="47"/>
      <c r="E114" s="48"/>
      <c r="F114" s="48"/>
      <c r="G114" s="17"/>
      <c r="H114" s="20"/>
      <c r="I114" s="50">
        <f>SUM(I107:I113)</f>
        <v>0</v>
      </c>
      <c r="J114" s="50"/>
      <c r="K114" s="51"/>
      <c r="L114" s="51"/>
      <c r="M114" s="51"/>
      <c r="N114" s="33">
        <f>SUM(N107:N113)</f>
        <v>0</v>
      </c>
      <c r="O114" s="51"/>
      <c r="P114" s="51"/>
      <c r="Q114" s="51"/>
      <c r="R114" s="33">
        <f>SUM(R107:R113)</f>
        <v>0</v>
      </c>
      <c r="S114" s="42"/>
      <c r="T114" s="42"/>
      <c r="U114" s="36" t="str">
        <f>IF(N114=0,"N/A",R114/N114-1)</f>
        <v>N/A</v>
      </c>
    </row>
    <row r="115" spans="2:21" x14ac:dyDescent="0.2">
      <c r="B115" s="18"/>
      <c r="C115" s="46"/>
      <c r="D115" s="47"/>
      <c r="E115" s="48"/>
      <c r="F115" s="48"/>
      <c r="G115" s="17"/>
      <c r="H115" s="20"/>
      <c r="I115" s="50"/>
      <c r="J115" s="50"/>
      <c r="K115" s="51"/>
      <c r="L115" s="51"/>
      <c r="M115" s="51"/>
      <c r="N115" s="33"/>
      <c r="O115" s="51"/>
      <c r="P115" s="51"/>
      <c r="Q115" s="51"/>
      <c r="R115" s="33"/>
      <c r="S115" s="42"/>
      <c r="T115" s="42"/>
      <c r="U115" s="36"/>
    </row>
    <row r="116" spans="2:21" x14ac:dyDescent="0.2">
      <c r="B116" s="18"/>
      <c r="C116" s="60"/>
      <c r="D116" s="47"/>
      <c r="E116" s="47"/>
      <c r="F116" s="47"/>
      <c r="G116" s="18"/>
      <c r="H116" s="10"/>
      <c r="I116" s="23"/>
      <c r="J116" s="23"/>
      <c r="K116" s="12"/>
      <c r="L116" s="12"/>
      <c r="M116" s="12"/>
      <c r="N116" s="13"/>
      <c r="O116" s="12"/>
      <c r="P116" s="12"/>
      <c r="Q116" s="12"/>
      <c r="R116" s="13"/>
      <c r="S116" s="14"/>
    </row>
    <row r="117" spans="2:21" x14ac:dyDescent="0.2">
      <c r="B117" s="109" t="s">
        <v>87</v>
      </c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  <c r="N117" s="110">
        <f>N14+N20+N26+N32+N38+N44+N51+N58+N65+N72+N79+N86+N92+N98+N104+N114</f>
        <v>0</v>
      </c>
      <c r="O117" s="109"/>
      <c r="P117" s="109"/>
      <c r="Q117" s="109"/>
      <c r="R117" s="110">
        <f>R14+R20+R26+R32+R38+R44+R51+R58+R65+R72+R79+R86+R92+R98+R104+R114</f>
        <v>0</v>
      </c>
      <c r="S117" s="109"/>
      <c r="T117" s="109"/>
      <c r="U117" s="109" t="str">
        <f>IF(N117=0,"N/A",R117/N117-1)</f>
        <v>N/A</v>
      </c>
    </row>
    <row r="118" spans="2:21" x14ac:dyDescent="0.2">
      <c r="C118" s="76"/>
      <c r="D118" s="77"/>
      <c r="E118" s="77"/>
      <c r="F118" s="77"/>
    </row>
    <row r="119" spans="2:21" x14ac:dyDescent="0.2">
      <c r="C119" s="76"/>
      <c r="D119" s="77"/>
      <c r="E119" s="77"/>
      <c r="F119" s="77"/>
    </row>
    <row r="120" spans="2:21" x14ac:dyDescent="0.2">
      <c r="C120" s="76"/>
      <c r="D120" s="77"/>
      <c r="E120" s="77"/>
      <c r="F120" s="77"/>
    </row>
    <row r="121" spans="2:21" x14ac:dyDescent="0.2">
      <c r="C121" s="76"/>
      <c r="D121" s="77"/>
      <c r="E121" s="77"/>
      <c r="F121" s="77"/>
    </row>
    <row r="122" spans="2:21" x14ac:dyDescent="0.2">
      <c r="C122" s="60"/>
      <c r="D122" s="47"/>
      <c r="E122" s="47"/>
      <c r="F122" s="47"/>
      <c r="G122" s="18"/>
      <c r="H122" s="64"/>
      <c r="I122" s="23"/>
      <c r="J122" s="23"/>
      <c r="K122" s="12"/>
      <c r="L122" s="12"/>
      <c r="M122" s="12"/>
      <c r="N122" s="13"/>
      <c r="O122" s="12"/>
      <c r="P122" s="12"/>
      <c r="Q122" s="12"/>
      <c r="R122" s="13"/>
      <c r="S122" s="14"/>
    </row>
    <row r="123" spans="2:21" x14ac:dyDescent="0.2">
      <c r="B123" s="24" t="s">
        <v>112</v>
      </c>
      <c r="C123" s="7" t="s">
        <v>88</v>
      </c>
      <c r="D123" s="27"/>
      <c r="E123" s="27"/>
      <c r="F123" s="27"/>
      <c r="G123" s="70"/>
      <c r="H123" s="27"/>
      <c r="I123" s="55"/>
      <c r="J123" s="55"/>
      <c r="K123" s="71"/>
      <c r="L123" s="72"/>
      <c r="M123" s="58"/>
      <c r="N123" s="61"/>
      <c r="O123" s="58"/>
      <c r="P123" s="58"/>
      <c r="Q123" s="73"/>
      <c r="R123" s="61"/>
      <c r="S123" s="35"/>
      <c r="T123" s="35"/>
      <c r="U123" s="36"/>
    </row>
    <row r="124" spans="2:21" x14ac:dyDescent="0.2">
      <c r="C124" s="76"/>
      <c r="D124" s="77"/>
      <c r="E124" s="77"/>
      <c r="F124" s="77"/>
    </row>
    <row r="125" spans="2:21" x14ac:dyDescent="0.2">
      <c r="C125" s="76"/>
      <c r="D125" s="77"/>
    </row>
    <row r="126" spans="2:21" x14ac:dyDescent="0.2">
      <c r="C126" s="76"/>
      <c r="D126" s="77"/>
    </row>
    <row r="127" spans="2:21" x14ac:dyDescent="0.2">
      <c r="C127" s="76"/>
      <c r="D127" s="77"/>
    </row>
    <row r="128" spans="2:21" x14ac:dyDescent="0.2">
      <c r="C128" s="76"/>
      <c r="D128" s="77"/>
    </row>
    <row r="129" spans="3:4" x14ac:dyDescent="0.2">
      <c r="C129" s="76"/>
      <c r="D129" s="77"/>
    </row>
    <row r="130" spans="3:4" x14ac:dyDescent="0.2">
      <c r="D130" s="77"/>
    </row>
    <row r="131" spans="3:4" x14ac:dyDescent="0.2">
      <c r="D131" s="77"/>
    </row>
    <row r="132" spans="3:4" x14ac:dyDescent="0.2">
      <c r="D132" s="77"/>
    </row>
    <row r="133" spans="3:4" x14ac:dyDescent="0.2">
      <c r="D133" s="77"/>
    </row>
    <row r="134" spans="3:4" x14ac:dyDescent="0.2">
      <c r="D134" s="77"/>
    </row>
  </sheetData>
  <mergeCells count="5">
    <mergeCell ref="B3:U3"/>
    <mergeCell ref="B4:U4"/>
    <mergeCell ref="B5:U5"/>
    <mergeCell ref="K7:N7"/>
    <mergeCell ref="O7:R7"/>
  </mergeCells>
  <phoneticPr fontId="0" type="noConversion"/>
  <dataValidations count="3">
    <dataValidation type="list" allowBlank="1" showInputMessage="1" showErrorMessage="1" sqref="H35" xr:uid="{00000000-0002-0000-0100-000000000000}">
      <formula1>"100,% of Salary"</formula1>
    </dataValidation>
    <dataValidation type="list" allowBlank="1" showInputMessage="1" showErrorMessage="1" sqref="B4:U4" xr:uid="{00000000-0002-0000-0100-000001000000}">
      <formula1>"Summary of Proposed Monthly Rates,Summary of Sold Monthly Rates"</formula1>
    </dataValidation>
    <dataValidation type="list" allowBlank="1" showInputMessage="1" showErrorMessage="1" sqref="O7" xr:uid="{00000000-0002-0000-0100-000002000000}">
      <formula1>"Proposed,Sold"</formula1>
    </dataValidation>
  </dataValidations>
  <printOptions horizontalCentered="1"/>
  <pageMargins left="0.4" right="0.4" top="0.4" bottom="0.3" header="0.3" footer="0.2"/>
  <pageSetup scale="65" fitToHeight="0" orientation="landscape" r:id="rId1"/>
  <headerFooter alignWithMargins="0">
    <oddFooter>&amp;C&amp;"Calibri"&amp;11&amp;K000000&amp;8Page &amp;P of &amp;N_x000D_&amp;1#&amp;"Calibri"&amp;10&amp;K000000Information à usage interne - Internal</oddFooter>
  </headerFooter>
  <drawing r:id="rId2"/>
  <legacyDrawing r:id="rId3"/>
  <controls>
    <mc:AlternateContent xmlns:mc="http://schemas.openxmlformats.org/markup-compatibility/2006">
      <mc:Choice Requires="x14">
        <control shapeId="1070" r:id="rId4" name="HidePlan">
          <controlPr defaultSize="0" autoLine="0" r:id="rId5">
            <anchor moveWithCells="1">
              <from>
                <xdr:col>8</xdr:col>
                <xdr:colOff>19050</xdr:colOff>
                <xdr:row>0</xdr:row>
                <xdr:rowOff>66675</xdr:rowOff>
              </from>
              <to>
                <xdr:col>9</xdr:col>
                <xdr:colOff>209550</xdr:colOff>
                <xdr:row>2</xdr:row>
                <xdr:rowOff>0</xdr:rowOff>
              </to>
            </anchor>
          </controlPr>
        </control>
      </mc:Choice>
      <mc:Fallback>
        <control shapeId="1070" r:id="rId4" name="HidePlan"/>
      </mc:Fallback>
    </mc:AlternateContent>
    <mc:AlternateContent xmlns:mc="http://schemas.openxmlformats.org/markup-compatibility/2006">
      <mc:Choice Requires="x14">
        <control shapeId="1069" r:id="rId6" name="HideClass">
          <controlPr defaultSize="0" autoLine="0" r:id="rId7">
            <anchor moveWithCells="1">
              <from>
                <xdr:col>3</xdr:col>
                <xdr:colOff>619125</xdr:colOff>
                <xdr:row>0</xdr:row>
                <xdr:rowOff>38100</xdr:rowOff>
              </from>
              <to>
                <xdr:col>5</xdr:col>
                <xdr:colOff>438150</xdr:colOff>
                <xdr:row>1</xdr:row>
                <xdr:rowOff>133350</xdr:rowOff>
              </to>
            </anchor>
          </controlPr>
        </control>
      </mc:Choice>
      <mc:Fallback>
        <control shapeId="1069" r:id="rId6" name="HideClass"/>
      </mc:Fallback>
    </mc:AlternateContent>
    <mc:AlternateContent xmlns:mc="http://schemas.openxmlformats.org/markup-compatibility/2006">
      <mc:Choice Requires="x14">
        <control shapeId="1068" r:id="rId8" name="ShowPlan">
          <controlPr defaultSize="0" autoLine="0" r:id="rId9">
            <anchor moveWithCells="1">
              <from>
                <xdr:col>8</xdr:col>
                <xdr:colOff>0</xdr:colOff>
                <xdr:row>0</xdr:row>
                <xdr:rowOff>66675</xdr:rowOff>
              </from>
              <to>
                <xdr:col>9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1068" r:id="rId8" name="ShowPlan"/>
      </mc:Fallback>
    </mc:AlternateContent>
    <mc:AlternateContent xmlns:mc="http://schemas.openxmlformats.org/markup-compatibility/2006">
      <mc:Choice Requires="x14">
        <control shapeId="1067" r:id="rId10" name="ShowClass">
          <controlPr defaultSize="0" autoLine="0" r:id="rId11">
            <anchor moveWithCells="1">
              <from>
                <xdr:col>3</xdr:col>
                <xdr:colOff>619125</xdr:colOff>
                <xdr:row>0</xdr:row>
                <xdr:rowOff>38100</xdr:rowOff>
              </from>
              <to>
                <xdr:col>5</xdr:col>
                <xdr:colOff>438150</xdr:colOff>
                <xdr:row>1</xdr:row>
                <xdr:rowOff>133350</xdr:rowOff>
              </to>
            </anchor>
          </controlPr>
        </control>
      </mc:Choice>
      <mc:Fallback>
        <control shapeId="1067" r:id="rId10" name="ShowClass"/>
      </mc:Fallback>
    </mc:AlternateContent>
    <mc:AlternateContent xmlns:mc="http://schemas.openxmlformats.org/markup-compatibility/2006">
      <mc:Choice Requires="x14">
        <control shapeId="1063" r:id="rId12" name="HideDiv">
          <controlPr defaultSize="0" autoLine="0" r:id="rId13">
            <anchor moveWithCells="1">
              <from>
                <xdr:col>2</xdr:col>
                <xdr:colOff>0</xdr:colOff>
                <xdr:row>0</xdr:row>
                <xdr:rowOff>66675</xdr:rowOff>
              </from>
              <to>
                <xdr:col>3</xdr:col>
                <xdr:colOff>276225</xdr:colOff>
                <xdr:row>2</xdr:row>
                <xdr:rowOff>0</xdr:rowOff>
              </to>
            </anchor>
          </controlPr>
        </control>
      </mc:Choice>
      <mc:Fallback>
        <control shapeId="1063" r:id="rId12" name="HideDiv"/>
      </mc:Fallback>
    </mc:AlternateContent>
    <mc:AlternateContent xmlns:mc="http://schemas.openxmlformats.org/markup-compatibility/2006">
      <mc:Choice Requires="x14">
        <control shapeId="1062" r:id="rId14" name="ShowDiv">
          <controlPr defaultSize="0" autoLine="0" r:id="rId15">
            <anchor moveWithCells="1">
              <from>
                <xdr:col>1</xdr:col>
                <xdr:colOff>2362200</xdr:colOff>
                <xdr:row>0</xdr:row>
                <xdr:rowOff>66675</xdr:rowOff>
              </from>
              <to>
                <xdr:col>3</xdr:col>
                <xdr:colOff>266700</xdr:colOff>
                <xdr:row>2</xdr:row>
                <xdr:rowOff>0</xdr:rowOff>
              </to>
            </anchor>
          </controlPr>
        </control>
      </mc:Choice>
      <mc:Fallback>
        <control shapeId="1062" r:id="rId14" name="ShowDiv"/>
      </mc:Fallback>
    </mc:AlternateContent>
    <mc:AlternateContent xmlns:mc="http://schemas.openxmlformats.org/markup-compatibility/2006">
      <mc:Choice Requires="x14">
        <control shapeId="1057" r:id="rId16" name="DelResilience">
          <controlPr defaultSize="0" disabled="1" autoLine="0" r:id="rId17">
            <anchor moveWithCells="1">
              <from>
                <xdr:col>0</xdr:col>
                <xdr:colOff>0</xdr:colOff>
                <xdr:row>115</xdr:row>
                <xdr:rowOff>0</xdr:rowOff>
              </from>
              <to>
                <xdr:col>0</xdr:col>
                <xdr:colOff>704850</xdr:colOff>
                <xdr:row>116</xdr:row>
                <xdr:rowOff>142875</xdr:rowOff>
              </to>
            </anchor>
          </controlPr>
        </control>
      </mc:Choice>
      <mc:Fallback>
        <control shapeId="1057" r:id="rId16" name="DelResilience"/>
      </mc:Fallback>
    </mc:AlternateContent>
    <mc:AlternateContent xmlns:mc="http://schemas.openxmlformats.org/markup-compatibility/2006">
      <mc:Choice Requires="x14">
        <control shapeId="1056" r:id="rId18" name="AddResilience">
          <controlPr defaultSize="0" autoLine="0" r:id="rId19">
            <anchor moveWithCells="1">
              <from>
                <xdr:col>0</xdr:col>
                <xdr:colOff>0</xdr:colOff>
                <xdr:row>115</xdr:row>
                <xdr:rowOff>0</xdr:rowOff>
              </from>
              <to>
                <xdr:col>0</xdr:col>
                <xdr:colOff>704850</xdr:colOff>
                <xdr:row>116</xdr:row>
                <xdr:rowOff>142875</xdr:rowOff>
              </to>
            </anchor>
          </controlPr>
        </control>
      </mc:Choice>
      <mc:Fallback>
        <control shapeId="1056" r:id="rId18" name="AddResilience"/>
      </mc:Fallback>
    </mc:AlternateContent>
    <mc:AlternateContent xmlns:mc="http://schemas.openxmlformats.org/markup-compatibility/2006">
      <mc:Choice Requires="x14">
        <control shapeId="1055" r:id="rId20" name="DelCritIll">
          <controlPr defaultSize="0" disabled="1" autoLine="0" r:id="rId21">
            <anchor moveWithCells="1">
              <from>
                <xdr:col>0</xdr:col>
                <xdr:colOff>0</xdr:colOff>
                <xdr:row>115</xdr:row>
                <xdr:rowOff>0</xdr:rowOff>
              </from>
              <to>
                <xdr:col>0</xdr:col>
                <xdr:colOff>704850</xdr:colOff>
                <xdr:row>116</xdr:row>
                <xdr:rowOff>142875</xdr:rowOff>
              </to>
            </anchor>
          </controlPr>
        </control>
      </mc:Choice>
      <mc:Fallback>
        <control shapeId="1055" r:id="rId20" name="DelCritIll"/>
      </mc:Fallback>
    </mc:AlternateContent>
    <mc:AlternateContent xmlns:mc="http://schemas.openxmlformats.org/markup-compatibility/2006">
      <mc:Choice Requires="x14">
        <control shapeId="1054" r:id="rId22" name="AddCritIll">
          <controlPr defaultSize="0" autoLine="0" autoPict="0" r:id="rId23">
            <anchor moveWithCells="1">
              <from>
                <xdr:col>0</xdr:col>
                <xdr:colOff>19050</xdr:colOff>
                <xdr:row>89</xdr:row>
                <xdr:rowOff>0</xdr:rowOff>
              </from>
              <to>
                <xdr:col>0</xdr:col>
                <xdr:colOff>723900</xdr:colOff>
                <xdr:row>90</xdr:row>
                <xdr:rowOff>152400</xdr:rowOff>
              </to>
            </anchor>
          </controlPr>
        </control>
      </mc:Choice>
      <mc:Fallback>
        <control shapeId="1054" r:id="rId22" name="AddCritIll"/>
      </mc:Fallback>
    </mc:AlternateContent>
    <mc:AlternateContent xmlns:mc="http://schemas.openxmlformats.org/markup-compatibility/2006">
      <mc:Choice Requires="x14">
        <control shapeId="1053" r:id="rId24" name="cmdExport">
          <controlPr defaultSize="0" autoLine="0" r:id="rId25">
            <anchor moveWithCells="1">
              <from>
                <xdr:col>17</xdr:col>
                <xdr:colOff>533400</xdr:colOff>
                <xdr:row>0</xdr:row>
                <xdr:rowOff>66675</xdr:rowOff>
              </from>
              <to>
                <xdr:col>19</xdr:col>
                <xdr:colOff>95250</xdr:colOff>
                <xdr:row>2</xdr:row>
                <xdr:rowOff>0</xdr:rowOff>
              </to>
            </anchor>
          </controlPr>
        </control>
      </mc:Choice>
      <mc:Fallback>
        <control shapeId="1053" r:id="rId24" name="cmdExport"/>
      </mc:Fallback>
    </mc:AlternateContent>
    <mc:AlternateContent xmlns:mc="http://schemas.openxmlformats.org/markup-compatibility/2006">
      <mc:Choice Requires="x14">
        <control shapeId="1052" r:id="rId26" name="ShowDR">
          <controlPr defaultSize="0" autoLine="0" r:id="rId27">
            <anchor moveWithCells="1">
              <from>
                <xdr:col>12</xdr:col>
                <xdr:colOff>9525</xdr:colOff>
                <xdr:row>0</xdr:row>
                <xdr:rowOff>57150</xdr:rowOff>
              </from>
              <to>
                <xdr:col>13</xdr:col>
                <xdr:colOff>66675</xdr:colOff>
                <xdr:row>1</xdr:row>
                <xdr:rowOff>152400</xdr:rowOff>
              </to>
            </anchor>
          </controlPr>
        </control>
      </mc:Choice>
      <mc:Fallback>
        <control shapeId="1052" r:id="rId26" name="ShowDR"/>
      </mc:Fallback>
    </mc:AlternateContent>
    <mc:AlternateContent xmlns:mc="http://schemas.openxmlformats.org/markup-compatibility/2006">
      <mc:Choice Requires="x14">
        <control shapeId="1051" r:id="rId28" name="HideDR">
          <controlPr defaultSize="0" autoLine="0" r:id="rId29">
            <anchor moveWithCells="1">
              <from>
                <xdr:col>11</xdr:col>
                <xdr:colOff>581025</xdr:colOff>
                <xdr:row>0</xdr:row>
                <xdr:rowOff>66675</xdr:rowOff>
              </from>
              <to>
                <xdr:col>12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051" r:id="rId28" name="HideDR"/>
      </mc:Fallback>
    </mc:AlternateContent>
    <mc:AlternateContent xmlns:mc="http://schemas.openxmlformats.org/markup-compatibility/2006">
      <mc:Choice Requires="x14">
        <control shapeId="1048" r:id="rId30" name="DelDental">
          <controlPr defaultSize="0" disabled="1" autoLine="0" autoPict="0" r:id="rId31">
            <anchor moveWithCells="1">
              <from>
                <xdr:col>0</xdr:col>
                <xdr:colOff>781050</xdr:colOff>
                <xdr:row>83</xdr:row>
                <xdr:rowOff>0</xdr:rowOff>
              </from>
              <to>
                <xdr:col>0</xdr:col>
                <xdr:colOff>1485900</xdr:colOff>
                <xdr:row>84</xdr:row>
                <xdr:rowOff>152400</xdr:rowOff>
              </to>
            </anchor>
          </controlPr>
        </control>
      </mc:Choice>
      <mc:Fallback>
        <control shapeId="1048" r:id="rId30" name="DelDental"/>
      </mc:Fallback>
    </mc:AlternateContent>
    <mc:AlternateContent xmlns:mc="http://schemas.openxmlformats.org/markup-compatibility/2006">
      <mc:Choice Requires="x14">
        <control shapeId="1047" r:id="rId32" name="DelPool">
          <controlPr defaultSize="0" disabled="1" autoLine="0" autoPict="0" r:id="rId33">
            <anchor moveWithCells="1">
              <from>
                <xdr:col>0</xdr:col>
                <xdr:colOff>781050</xdr:colOff>
                <xdr:row>76</xdr:row>
                <xdr:rowOff>19050</xdr:rowOff>
              </from>
              <to>
                <xdr:col>0</xdr:col>
                <xdr:colOff>1485900</xdr:colOff>
                <xdr:row>78</xdr:row>
                <xdr:rowOff>9525</xdr:rowOff>
              </to>
            </anchor>
          </controlPr>
        </control>
      </mc:Choice>
      <mc:Fallback>
        <control shapeId="1047" r:id="rId32" name="DelPool"/>
      </mc:Fallback>
    </mc:AlternateContent>
    <mc:AlternateContent xmlns:mc="http://schemas.openxmlformats.org/markup-compatibility/2006">
      <mc:Choice Requires="x14">
        <control shapeId="1046" r:id="rId34" name="DelVis">
          <controlPr defaultSize="0" disabled="1" autoLine="0" autoPict="0" r:id="rId35">
            <anchor moveWithCells="1">
              <from>
                <xdr:col>0</xdr:col>
                <xdr:colOff>781050</xdr:colOff>
                <xdr:row>69</xdr:row>
                <xdr:rowOff>9525</xdr:rowOff>
              </from>
              <to>
                <xdr:col>0</xdr:col>
                <xdr:colOff>1485900</xdr:colOff>
                <xdr:row>70</xdr:row>
                <xdr:rowOff>161925</xdr:rowOff>
              </to>
            </anchor>
          </controlPr>
        </control>
      </mc:Choice>
      <mc:Fallback>
        <control shapeId="1046" r:id="rId34" name="DelVis"/>
      </mc:Fallback>
    </mc:AlternateContent>
    <mc:AlternateContent xmlns:mc="http://schemas.openxmlformats.org/markup-compatibility/2006">
      <mc:Choice Requires="x14">
        <control shapeId="1045" r:id="rId36" name="DelDrug">
          <controlPr defaultSize="0" disabled="1" autoLine="0" autoPict="0" r:id="rId37">
            <anchor moveWithCells="1">
              <from>
                <xdr:col>0</xdr:col>
                <xdr:colOff>781050</xdr:colOff>
                <xdr:row>62</xdr:row>
                <xdr:rowOff>9525</xdr:rowOff>
              </from>
              <to>
                <xdr:col>0</xdr:col>
                <xdr:colOff>1485900</xdr:colOff>
                <xdr:row>63</xdr:row>
                <xdr:rowOff>161925</xdr:rowOff>
              </to>
            </anchor>
          </controlPr>
        </control>
      </mc:Choice>
      <mc:Fallback>
        <control shapeId="1045" r:id="rId36" name="DelDrug"/>
      </mc:Fallback>
    </mc:AlternateContent>
    <mc:AlternateContent xmlns:mc="http://schemas.openxmlformats.org/markup-compatibility/2006">
      <mc:Choice Requires="x14">
        <control shapeId="1044" r:id="rId38" name="DelHosp">
          <controlPr defaultSize="0" disabled="1" autoLine="0" autoPict="0" r:id="rId39">
            <anchor moveWithCells="1">
              <from>
                <xdr:col>0</xdr:col>
                <xdr:colOff>781050</xdr:colOff>
                <xdr:row>55</xdr:row>
                <xdr:rowOff>19050</xdr:rowOff>
              </from>
              <to>
                <xdr:col>0</xdr:col>
                <xdr:colOff>1485900</xdr:colOff>
                <xdr:row>57</xdr:row>
                <xdr:rowOff>9525</xdr:rowOff>
              </to>
            </anchor>
          </controlPr>
        </control>
      </mc:Choice>
      <mc:Fallback>
        <control shapeId="1044" r:id="rId38" name="DelHosp"/>
      </mc:Fallback>
    </mc:AlternateContent>
    <mc:AlternateContent xmlns:mc="http://schemas.openxmlformats.org/markup-compatibility/2006">
      <mc:Choice Requires="x14">
        <control shapeId="1043" r:id="rId40" name="DelEHC">
          <controlPr defaultSize="0" disabled="1" autoLine="0" autoPict="0" r:id="rId41">
            <anchor moveWithCells="1">
              <from>
                <xdr:col>0</xdr:col>
                <xdr:colOff>781050</xdr:colOff>
                <xdr:row>48</xdr:row>
                <xdr:rowOff>0</xdr:rowOff>
              </from>
              <to>
                <xdr:col>0</xdr:col>
                <xdr:colOff>1485900</xdr:colOff>
                <xdr:row>49</xdr:row>
                <xdr:rowOff>152400</xdr:rowOff>
              </to>
            </anchor>
          </controlPr>
        </control>
      </mc:Choice>
      <mc:Fallback>
        <control shapeId="1043" r:id="rId40" name="DelEHC"/>
      </mc:Fallback>
    </mc:AlternateContent>
    <mc:AlternateContent xmlns:mc="http://schemas.openxmlformats.org/markup-compatibility/2006">
      <mc:Choice Requires="x14">
        <control shapeId="1042" r:id="rId42" name="DelSTD">
          <controlPr defaultSize="0" disabled="1" autoLine="0" autoPict="0" r:id="rId43">
            <anchor moveWithCells="1">
              <from>
                <xdr:col>0</xdr:col>
                <xdr:colOff>781050</xdr:colOff>
                <xdr:row>41</xdr:row>
                <xdr:rowOff>0</xdr:rowOff>
              </from>
              <to>
                <xdr:col>0</xdr:col>
                <xdr:colOff>1485900</xdr:colOff>
                <xdr:row>42</xdr:row>
                <xdr:rowOff>152400</xdr:rowOff>
              </to>
            </anchor>
          </controlPr>
        </control>
      </mc:Choice>
      <mc:Fallback>
        <control shapeId="1042" r:id="rId42" name="DelSTD"/>
      </mc:Fallback>
    </mc:AlternateContent>
    <mc:AlternateContent xmlns:mc="http://schemas.openxmlformats.org/markup-compatibility/2006">
      <mc:Choice Requires="x14">
        <control shapeId="1041" r:id="rId44" name="DelLTD">
          <controlPr defaultSize="0" disabled="1" autoLine="0" autoPict="0" r:id="rId45">
            <anchor moveWithCells="1">
              <from>
                <xdr:col>0</xdr:col>
                <xdr:colOff>781050</xdr:colOff>
                <xdr:row>35</xdr:row>
                <xdr:rowOff>0</xdr:rowOff>
              </from>
              <to>
                <xdr:col>0</xdr:col>
                <xdr:colOff>1485900</xdr:colOff>
                <xdr:row>36</xdr:row>
                <xdr:rowOff>152400</xdr:rowOff>
              </to>
            </anchor>
          </controlPr>
        </control>
      </mc:Choice>
      <mc:Fallback>
        <control shapeId="1041" r:id="rId44" name="DelLTD"/>
      </mc:Fallback>
    </mc:AlternateContent>
    <mc:AlternateContent xmlns:mc="http://schemas.openxmlformats.org/markup-compatibility/2006">
      <mc:Choice Requires="x14">
        <control shapeId="1040" r:id="rId46" name="DelADD">
          <controlPr defaultSize="0" disabled="1" autoLine="0" autoPict="0" r:id="rId47">
            <anchor moveWithCells="1">
              <from>
                <xdr:col>0</xdr:col>
                <xdr:colOff>781050</xdr:colOff>
                <xdr:row>29</xdr:row>
                <xdr:rowOff>9525</xdr:rowOff>
              </from>
              <to>
                <xdr:col>0</xdr:col>
                <xdr:colOff>1485900</xdr:colOff>
                <xdr:row>30</xdr:row>
                <xdr:rowOff>161925</xdr:rowOff>
              </to>
            </anchor>
          </controlPr>
        </control>
      </mc:Choice>
      <mc:Fallback>
        <control shapeId="1040" r:id="rId46" name="DelADD"/>
      </mc:Fallback>
    </mc:AlternateContent>
    <mc:AlternateContent xmlns:mc="http://schemas.openxmlformats.org/markup-compatibility/2006">
      <mc:Choice Requires="x14">
        <control shapeId="1039" r:id="rId48" name="DelOpt">
          <controlPr defaultSize="0" disabled="1" autoLine="0" autoPict="0" r:id="rId49">
            <anchor moveWithCells="1">
              <from>
                <xdr:col>0</xdr:col>
                <xdr:colOff>781050</xdr:colOff>
                <xdr:row>23</xdr:row>
                <xdr:rowOff>0</xdr:rowOff>
              </from>
              <to>
                <xdr:col>0</xdr:col>
                <xdr:colOff>1485900</xdr:colOff>
                <xdr:row>24</xdr:row>
                <xdr:rowOff>152400</xdr:rowOff>
              </to>
            </anchor>
          </controlPr>
        </control>
      </mc:Choice>
      <mc:Fallback>
        <control shapeId="1039" r:id="rId48" name="DelOpt"/>
      </mc:Fallback>
    </mc:AlternateContent>
    <mc:AlternateContent xmlns:mc="http://schemas.openxmlformats.org/markup-compatibility/2006">
      <mc:Choice Requires="x14">
        <control shapeId="1038" r:id="rId50" name="DelDep">
          <controlPr defaultSize="0" disabled="1" autoLine="0" autoPict="0" r:id="rId51">
            <anchor moveWithCells="1">
              <from>
                <xdr:col>0</xdr:col>
                <xdr:colOff>781050</xdr:colOff>
                <xdr:row>17</xdr:row>
                <xdr:rowOff>28575</xdr:rowOff>
              </from>
              <to>
                <xdr:col>0</xdr:col>
                <xdr:colOff>1485900</xdr:colOff>
                <xdr:row>19</xdr:row>
                <xdr:rowOff>9525</xdr:rowOff>
              </to>
            </anchor>
          </controlPr>
        </control>
      </mc:Choice>
      <mc:Fallback>
        <control shapeId="1038" r:id="rId50" name="DelDep"/>
      </mc:Fallback>
    </mc:AlternateContent>
    <mc:AlternateContent xmlns:mc="http://schemas.openxmlformats.org/markup-compatibility/2006">
      <mc:Choice Requires="x14">
        <control shapeId="1037" r:id="rId52" name="DelLife">
          <controlPr defaultSize="0" disabled="1" autoLine="0" autoPict="0" r:id="rId53">
            <anchor moveWithCells="1">
              <from>
                <xdr:col>0</xdr:col>
                <xdr:colOff>781050</xdr:colOff>
                <xdr:row>11</xdr:row>
                <xdr:rowOff>9525</xdr:rowOff>
              </from>
              <to>
                <xdr:col>0</xdr:col>
                <xdr:colOff>1485900</xdr:colOff>
                <xdr:row>12</xdr:row>
                <xdr:rowOff>161925</xdr:rowOff>
              </to>
            </anchor>
          </controlPr>
        </control>
      </mc:Choice>
      <mc:Fallback>
        <control shapeId="1037" r:id="rId52" name="DelLife"/>
      </mc:Fallback>
    </mc:AlternateContent>
    <mc:AlternateContent xmlns:mc="http://schemas.openxmlformats.org/markup-compatibility/2006">
      <mc:Choice Requires="x14">
        <control shapeId="1036" r:id="rId54" name="AddDental">
          <controlPr defaultSize="0" autoLine="0" autoPict="0" r:id="rId55">
            <anchor moveWithCells="1">
              <from>
                <xdr:col>0</xdr:col>
                <xdr:colOff>19050</xdr:colOff>
                <xdr:row>83</xdr:row>
                <xdr:rowOff>0</xdr:rowOff>
              </from>
              <to>
                <xdr:col>0</xdr:col>
                <xdr:colOff>723900</xdr:colOff>
                <xdr:row>84</xdr:row>
                <xdr:rowOff>152400</xdr:rowOff>
              </to>
            </anchor>
          </controlPr>
        </control>
      </mc:Choice>
      <mc:Fallback>
        <control shapeId="1036" r:id="rId54" name="AddDental"/>
      </mc:Fallback>
    </mc:AlternateContent>
    <mc:AlternateContent xmlns:mc="http://schemas.openxmlformats.org/markup-compatibility/2006">
      <mc:Choice Requires="x14">
        <control shapeId="1035" r:id="rId56" name="AddPool">
          <controlPr defaultSize="0" autoLine="0" autoPict="0" r:id="rId57">
            <anchor moveWithCells="1">
              <from>
                <xdr:col>0</xdr:col>
                <xdr:colOff>19050</xdr:colOff>
                <xdr:row>76</xdr:row>
                <xdr:rowOff>19050</xdr:rowOff>
              </from>
              <to>
                <xdr:col>0</xdr:col>
                <xdr:colOff>723900</xdr:colOff>
                <xdr:row>78</xdr:row>
                <xdr:rowOff>9525</xdr:rowOff>
              </to>
            </anchor>
          </controlPr>
        </control>
      </mc:Choice>
      <mc:Fallback>
        <control shapeId="1035" r:id="rId56" name="AddPool"/>
      </mc:Fallback>
    </mc:AlternateContent>
    <mc:AlternateContent xmlns:mc="http://schemas.openxmlformats.org/markup-compatibility/2006">
      <mc:Choice Requires="x14">
        <control shapeId="1034" r:id="rId58" name="AddVis">
          <controlPr defaultSize="0" autoLine="0" autoPict="0" r:id="rId59">
            <anchor moveWithCells="1">
              <from>
                <xdr:col>0</xdr:col>
                <xdr:colOff>19050</xdr:colOff>
                <xdr:row>69</xdr:row>
                <xdr:rowOff>9525</xdr:rowOff>
              </from>
              <to>
                <xdr:col>0</xdr:col>
                <xdr:colOff>723900</xdr:colOff>
                <xdr:row>70</xdr:row>
                <xdr:rowOff>161925</xdr:rowOff>
              </to>
            </anchor>
          </controlPr>
        </control>
      </mc:Choice>
      <mc:Fallback>
        <control shapeId="1034" r:id="rId58" name="AddVis"/>
      </mc:Fallback>
    </mc:AlternateContent>
    <mc:AlternateContent xmlns:mc="http://schemas.openxmlformats.org/markup-compatibility/2006">
      <mc:Choice Requires="x14">
        <control shapeId="1033" r:id="rId60" name="AddDrug">
          <controlPr defaultSize="0" autoLine="0" autoPict="0" r:id="rId61">
            <anchor moveWithCells="1">
              <from>
                <xdr:col>0</xdr:col>
                <xdr:colOff>19050</xdr:colOff>
                <xdr:row>62</xdr:row>
                <xdr:rowOff>9525</xdr:rowOff>
              </from>
              <to>
                <xdr:col>0</xdr:col>
                <xdr:colOff>723900</xdr:colOff>
                <xdr:row>63</xdr:row>
                <xdr:rowOff>161925</xdr:rowOff>
              </to>
            </anchor>
          </controlPr>
        </control>
      </mc:Choice>
      <mc:Fallback>
        <control shapeId="1033" r:id="rId60" name="AddDrug"/>
      </mc:Fallback>
    </mc:AlternateContent>
    <mc:AlternateContent xmlns:mc="http://schemas.openxmlformats.org/markup-compatibility/2006">
      <mc:Choice Requires="x14">
        <control shapeId="1032" r:id="rId62" name="AddHosp">
          <controlPr defaultSize="0" autoLine="0" autoPict="0" r:id="rId63">
            <anchor moveWithCells="1">
              <from>
                <xdr:col>0</xdr:col>
                <xdr:colOff>19050</xdr:colOff>
                <xdr:row>55</xdr:row>
                <xdr:rowOff>19050</xdr:rowOff>
              </from>
              <to>
                <xdr:col>0</xdr:col>
                <xdr:colOff>723900</xdr:colOff>
                <xdr:row>57</xdr:row>
                <xdr:rowOff>9525</xdr:rowOff>
              </to>
            </anchor>
          </controlPr>
        </control>
      </mc:Choice>
      <mc:Fallback>
        <control shapeId="1032" r:id="rId62" name="AddHosp"/>
      </mc:Fallback>
    </mc:AlternateContent>
    <mc:AlternateContent xmlns:mc="http://schemas.openxmlformats.org/markup-compatibility/2006">
      <mc:Choice Requires="x14">
        <control shapeId="1031" r:id="rId64" name="AddEHC">
          <controlPr defaultSize="0" autoLine="0" autoPict="0" r:id="rId65">
            <anchor moveWithCells="1">
              <from>
                <xdr:col>0</xdr:col>
                <xdr:colOff>19050</xdr:colOff>
                <xdr:row>48</xdr:row>
                <xdr:rowOff>0</xdr:rowOff>
              </from>
              <to>
                <xdr:col>0</xdr:col>
                <xdr:colOff>723900</xdr:colOff>
                <xdr:row>49</xdr:row>
                <xdr:rowOff>152400</xdr:rowOff>
              </to>
            </anchor>
          </controlPr>
        </control>
      </mc:Choice>
      <mc:Fallback>
        <control shapeId="1031" r:id="rId64" name="AddEHC"/>
      </mc:Fallback>
    </mc:AlternateContent>
    <mc:AlternateContent xmlns:mc="http://schemas.openxmlformats.org/markup-compatibility/2006">
      <mc:Choice Requires="x14">
        <control shapeId="1030" r:id="rId66" name="AddSTD">
          <controlPr defaultSize="0" autoLine="0" autoPict="0" r:id="rId67">
            <anchor moveWithCells="1">
              <from>
                <xdr:col>0</xdr:col>
                <xdr:colOff>19050</xdr:colOff>
                <xdr:row>41</xdr:row>
                <xdr:rowOff>0</xdr:rowOff>
              </from>
              <to>
                <xdr:col>0</xdr:col>
                <xdr:colOff>723900</xdr:colOff>
                <xdr:row>42</xdr:row>
                <xdr:rowOff>152400</xdr:rowOff>
              </to>
            </anchor>
          </controlPr>
        </control>
      </mc:Choice>
      <mc:Fallback>
        <control shapeId="1030" r:id="rId66" name="AddSTD"/>
      </mc:Fallback>
    </mc:AlternateContent>
    <mc:AlternateContent xmlns:mc="http://schemas.openxmlformats.org/markup-compatibility/2006">
      <mc:Choice Requires="x14">
        <control shapeId="1029" r:id="rId68" name="AddLTD">
          <controlPr defaultSize="0" autoLine="0" autoPict="0" r:id="rId69">
            <anchor moveWithCells="1">
              <from>
                <xdr:col>0</xdr:col>
                <xdr:colOff>19050</xdr:colOff>
                <xdr:row>35</xdr:row>
                <xdr:rowOff>0</xdr:rowOff>
              </from>
              <to>
                <xdr:col>0</xdr:col>
                <xdr:colOff>723900</xdr:colOff>
                <xdr:row>36</xdr:row>
                <xdr:rowOff>152400</xdr:rowOff>
              </to>
            </anchor>
          </controlPr>
        </control>
      </mc:Choice>
      <mc:Fallback>
        <control shapeId="1029" r:id="rId68" name="AddLTD"/>
      </mc:Fallback>
    </mc:AlternateContent>
    <mc:AlternateContent xmlns:mc="http://schemas.openxmlformats.org/markup-compatibility/2006">
      <mc:Choice Requires="x14">
        <control shapeId="1028" r:id="rId70" name="AddADD">
          <controlPr defaultSize="0" autoLine="0" autoPict="0" r:id="rId71">
            <anchor moveWithCells="1">
              <from>
                <xdr:col>0</xdr:col>
                <xdr:colOff>19050</xdr:colOff>
                <xdr:row>29</xdr:row>
                <xdr:rowOff>9525</xdr:rowOff>
              </from>
              <to>
                <xdr:col>0</xdr:col>
                <xdr:colOff>723900</xdr:colOff>
                <xdr:row>30</xdr:row>
                <xdr:rowOff>161925</xdr:rowOff>
              </to>
            </anchor>
          </controlPr>
        </control>
      </mc:Choice>
      <mc:Fallback>
        <control shapeId="1028" r:id="rId70" name="AddADD"/>
      </mc:Fallback>
    </mc:AlternateContent>
    <mc:AlternateContent xmlns:mc="http://schemas.openxmlformats.org/markup-compatibility/2006">
      <mc:Choice Requires="x14">
        <control shapeId="1027" r:id="rId72" name="AddOpt">
          <controlPr defaultSize="0" autoLine="0" autoPict="0" r:id="rId73">
            <anchor moveWithCells="1">
              <from>
                <xdr:col>0</xdr:col>
                <xdr:colOff>19050</xdr:colOff>
                <xdr:row>23</xdr:row>
                <xdr:rowOff>0</xdr:rowOff>
              </from>
              <to>
                <xdr:col>0</xdr:col>
                <xdr:colOff>723900</xdr:colOff>
                <xdr:row>24</xdr:row>
                <xdr:rowOff>152400</xdr:rowOff>
              </to>
            </anchor>
          </controlPr>
        </control>
      </mc:Choice>
      <mc:Fallback>
        <control shapeId="1027" r:id="rId72" name="AddOpt"/>
      </mc:Fallback>
    </mc:AlternateContent>
    <mc:AlternateContent xmlns:mc="http://schemas.openxmlformats.org/markup-compatibility/2006">
      <mc:Choice Requires="x14">
        <control shapeId="1026" r:id="rId74" name="AddDep">
          <controlPr defaultSize="0" autoLine="0" autoPict="0" r:id="rId75">
            <anchor moveWithCells="1">
              <from>
                <xdr:col>0</xdr:col>
                <xdr:colOff>19050</xdr:colOff>
                <xdr:row>17</xdr:row>
                <xdr:rowOff>28575</xdr:rowOff>
              </from>
              <to>
                <xdr:col>0</xdr:col>
                <xdr:colOff>723900</xdr:colOff>
                <xdr:row>19</xdr:row>
                <xdr:rowOff>9525</xdr:rowOff>
              </to>
            </anchor>
          </controlPr>
        </control>
      </mc:Choice>
      <mc:Fallback>
        <control shapeId="1026" r:id="rId74" name="AddDep"/>
      </mc:Fallback>
    </mc:AlternateContent>
    <mc:AlternateContent xmlns:mc="http://schemas.openxmlformats.org/markup-compatibility/2006">
      <mc:Choice Requires="x14">
        <control shapeId="1025" r:id="rId76" name="AddLife">
          <controlPr defaultSize="0" autoLine="0" autoPict="0" r:id="rId77">
            <anchor moveWithCells="1">
              <from>
                <xdr:col>0</xdr:col>
                <xdr:colOff>19050</xdr:colOff>
                <xdr:row>11</xdr:row>
                <xdr:rowOff>9525</xdr:rowOff>
              </from>
              <to>
                <xdr:col>0</xdr:col>
                <xdr:colOff>723900</xdr:colOff>
                <xdr:row>12</xdr:row>
                <xdr:rowOff>161925</xdr:rowOff>
              </to>
            </anchor>
          </controlPr>
        </control>
      </mc:Choice>
      <mc:Fallback>
        <control shapeId="1025" r:id="rId76" name="AddLif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1"/>
  <sheetViews>
    <sheetView zoomScaleNormal="100" workbookViewId="0">
      <selection activeCell="L31" sqref="L31"/>
    </sheetView>
  </sheetViews>
  <sheetFormatPr defaultColWidth="11.42578125" defaultRowHeight="12.75" x14ac:dyDescent="0.2"/>
  <cols>
    <col min="1" max="5" width="11.42578125" style="7" customWidth="1"/>
    <col min="6" max="6" width="5.140625" style="7" customWidth="1"/>
    <col min="7" max="16384" width="11.42578125" style="7"/>
  </cols>
  <sheetData>
    <row r="1" spans="1:12" ht="40.5" customHeight="1" x14ac:dyDescent="0.3">
      <c r="A1" s="125" t="str">
        <f>CONCATENATE('Rate Sheet Template'!B3," - Optional Life Step Rates")</f>
        <v>Client Name - Optional Life Step Rates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78"/>
    </row>
    <row r="2" spans="1:12" ht="18" x14ac:dyDescent="0.25">
      <c r="A2" s="126" t="str">
        <f>'Rate Sheet Template'!B4</f>
        <v>Summary of Proposed Monthly Rates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79"/>
    </row>
    <row r="3" spans="1:12" ht="18" x14ac:dyDescent="0.25">
      <c r="A3" s="126" t="str">
        <f>'Rate Sheet Template'!B5</f>
        <v>Effective dd-mmm-yyyy</v>
      </c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79"/>
    </row>
    <row r="4" spans="1:12" ht="13.5" thickBot="1" x14ac:dyDescent="0.25">
      <c r="A4" s="18"/>
      <c r="B4" s="18"/>
      <c r="C4" s="80"/>
      <c r="D4" s="80"/>
      <c r="E4" s="80"/>
      <c r="F4" s="18"/>
      <c r="G4" s="18"/>
      <c r="H4" s="18"/>
      <c r="I4" s="80"/>
      <c r="J4" s="80"/>
      <c r="K4" s="80"/>
      <c r="L4" s="81"/>
    </row>
    <row r="5" spans="1:12" ht="16.5" thickBot="1" x14ac:dyDescent="0.3">
      <c r="A5" s="82"/>
      <c r="B5" s="83"/>
      <c r="C5" s="84"/>
      <c r="G5" s="85" t="s">
        <v>89</v>
      </c>
      <c r="H5" s="86"/>
      <c r="I5" s="87">
        <v>0</v>
      </c>
      <c r="L5" s="88"/>
    </row>
    <row r="6" spans="1:12" ht="13.5" thickBot="1" x14ac:dyDescent="0.25">
      <c r="L6" s="88"/>
    </row>
    <row r="7" spans="1:12" ht="13.5" thickBot="1" x14ac:dyDescent="0.25">
      <c r="A7" s="89" t="s">
        <v>44</v>
      </c>
      <c r="B7" s="90"/>
      <c r="C7" s="90"/>
      <c r="D7" s="90"/>
      <c r="E7" s="91"/>
      <c r="F7" s="92"/>
      <c r="G7" s="127" t="s">
        <v>45</v>
      </c>
      <c r="H7" s="128"/>
      <c r="I7" s="128"/>
      <c r="J7" s="128"/>
      <c r="K7" s="129"/>
      <c r="L7" s="88"/>
    </row>
    <row r="8" spans="1:12" ht="13.5" thickBot="1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</row>
    <row r="9" spans="1:12" x14ac:dyDescent="0.2">
      <c r="A9" s="93"/>
      <c r="B9" s="94" t="s">
        <v>104</v>
      </c>
      <c r="C9" s="95"/>
      <c r="D9" s="94" t="s">
        <v>105</v>
      </c>
      <c r="E9" s="96"/>
      <c r="F9" s="18"/>
      <c r="G9" s="93"/>
      <c r="H9" s="94" t="str">
        <f>B9</f>
        <v>MALE - RATE/$1,000</v>
      </c>
      <c r="I9" s="95"/>
      <c r="J9" s="94" t="str">
        <f>D9</f>
        <v>FEMALE - RATE/$1,000</v>
      </c>
      <c r="K9" s="96"/>
      <c r="L9" s="18"/>
    </row>
    <row r="10" spans="1:12" x14ac:dyDescent="0.2">
      <c r="A10" s="97" t="s">
        <v>90</v>
      </c>
      <c r="B10" s="98" t="s">
        <v>91</v>
      </c>
      <c r="C10" s="98" t="s">
        <v>92</v>
      </c>
      <c r="D10" s="98" t="s">
        <v>91</v>
      </c>
      <c r="E10" s="99" t="s">
        <v>92</v>
      </c>
      <c r="F10" s="17"/>
      <c r="G10" s="97" t="s">
        <v>90</v>
      </c>
      <c r="H10" s="98" t="s">
        <v>91</v>
      </c>
      <c r="I10" s="98" t="s">
        <v>92</v>
      </c>
      <c r="J10" s="98" t="s">
        <v>91</v>
      </c>
      <c r="K10" s="99" t="s">
        <v>92</v>
      </c>
      <c r="L10" s="18"/>
    </row>
    <row r="11" spans="1:12" x14ac:dyDescent="0.2">
      <c r="A11" s="100" t="s">
        <v>93</v>
      </c>
      <c r="B11" s="101">
        <v>0</v>
      </c>
      <c r="C11" s="101">
        <v>0</v>
      </c>
      <c r="D11" s="101">
        <v>0</v>
      </c>
      <c r="E11" s="102">
        <v>0</v>
      </c>
      <c r="F11" s="18"/>
      <c r="G11" s="100" t="s">
        <v>93</v>
      </c>
      <c r="H11" s="101">
        <f>ROUND((B11*(1+$I$5)),3)</f>
        <v>0</v>
      </c>
      <c r="I11" s="101">
        <f>ROUND((C11*(1+$I$5)),3)</f>
        <v>0</v>
      </c>
      <c r="J11" s="101">
        <f>ROUND((D11*(1+$I$5)),3)</f>
        <v>0</v>
      </c>
      <c r="K11" s="102">
        <f>ROUND((E11*(1+$I$5)),3)</f>
        <v>0</v>
      </c>
      <c r="L11" s="18"/>
    </row>
    <row r="12" spans="1:12" x14ac:dyDescent="0.2">
      <c r="A12" s="100" t="s">
        <v>94</v>
      </c>
      <c r="B12" s="101">
        <v>0</v>
      </c>
      <c r="C12" s="101">
        <v>0</v>
      </c>
      <c r="D12" s="101">
        <v>0</v>
      </c>
      <c r="E12" s="102">
        <v>0</v>
      </c>
      <c r="F12" s="18"/>
      <c r="G12" s="100" t="s">
        <v>94</v>
      </c>
      <c r="H12" s="101">
        <f t="shared" ref="H12:H20" si="0">ROUND((B12*(1+$I$5)),3)</f>
        <v>0</v>
      </c>
      <c r="I12" s="101">
        <f t="shared" ref="I12:I20" si="1">ROUND((C12*(1+$I$5)),3)</f>
        <v>0</v>
      </c>
      <c r="J12" s="101">
        <f t="shared" ref="J12:J20" si="2">ROUND((D12*(1+$I$5)),3)</f>
        <v>0</v>
      </c>
      <c r="K12" s="102">
        <f t="shared" ref="K12:K20" si="3">ROUND((E12*(1+$I$5)),3)</f>
        <v>0</v>
      </c>
      <c r="L12" s="18"/>
    </row>
    <row r="13" spans="1:12" x14ac:dyDescent="0.2">
      <c r="A13" s="100" t="s">
        <v>95</v>
      </c>
      <c r="B13" s="101">
        <v>0</v>
      </c>
      <c r="C13" s="101">
        <v>0</v>
      </c>
      <c r="D13" s="101">
        <v>0</v>
      </c>
      <c r="E13" s="102">
        <v>0</v>
      </c>
      <c r="F13" s="18"/>
      <c r="G13" s="100" t="s">
        <v>95</v>
      </c>
      <c r="H13" s="101">
        <f t="shared" si="0"/>
        <v>0</v>
      </c>
      <c r="I13" s="101">
        <f t="shared" si="1"/>
        <v>0</v>
      </c>
      <c r="J13" s="101">
        <f t="shared" si="2"/>
        <v>0</v>
      </c>
      <c r="K13" s="102">
        <f t="shared" si="3"/>
        <v>0</v>
      </c>
      <c r="L13" s="18"/>
    </row>
    <row r="14" spans="1:12" x14ac:dyDescent="0.2">
      <c r="A14" s="100" t="s">
        <v>96</v>
      </c>
      <c r="B14" s="101">
        <v>0</v>
      </c>
      <c r="C14" s="101">
        <v>0</v>
      </c>
      <c r="D14" s="101">
        <v>0</v>
      </c>
      <c r="E14" s="102">
        <v>0</v>
      </c>
      <c r="F14" s="18"/>
      <c r="G14" s="100" t="s">
        <v>96</v>
      </c>
      <c r="H14" s="101">
        <f t="shared" si="0"/>
        <v>0</v>
      </c>
      <c r="I14" s="101">
        <f t="shared" si="1"/>
        <v>0</v>
      </c>
      <c r="J14" s="101">
        <f t="shared" si="2"/>
        <v>0</v>
      </c>
      <c r="K14" s="102">
        <f t="shared" si="3"/>
        <v>0</v>
      </c>
      <c r="L14" s="18"/>
    </row>
    <row r="15" spans="1:12" x14ac:dyDescent="0.2">
      <c r="A15" s="100" t="s">
        <v>97</v>
      </c>
      <c r="B15" s="101">
        <v>0</v>
      </c>
      <c r="C15" s="101">
        <v>0</v>
      </c>
      <c r="D15" s="101">
        <v>0</v>
      </c>
      <c r="E15" s="102">
        <v>0</v>
      </c>
      <c r="F15" s="18"/>
      <c r="G15" s="100" t="s">
        <v>97</v>
      </c>
      <c r="H15" s="101">
        <f t="shared" si="0"/>
        <v>0</v>
      </c>
      <c r="I15" s="101">
        <f t="shared" si="1"/>
        <v>0</v>
      </c>
      <c r="J15" s="101">
        <f t="shared" si="2"/>
        <v>0</v>
      </c>
      <c r="K15" s="102">
        <f t="shared" si="3"/>
        <v>0</v>
      </c>
      <c r="L15" s="18"/>
    </row>
    <row r="16" spans="1:12" x14ac:dyDescent="0.2">
      <c r="A16" s="100" t="s">
        <v>98</v>
      </c>
      <c r="B16" s="101">
        <v>0</v>
      </c>
      <c r="C16" s="101">
        <v>0</v>
      </c>
      <c r="D16" s="101">
        <v>0</v>
      </c>
      <c r="E16" s="102">
        <v>0</v>
      </c>
      <c r="F16" s="18"/>
      <c r="G16" s="100" t="s">
        <v>98</v>
      </c>
      <c r="H16" s="101">
        <f t="shared" si="0"/>
        <v>0</v>
      </c>
      <c r="I16" s="101">
        <f t="shared" si="1"/>
        <v>0</v>
      </c>
      <c r="J16" s="101">
        <f t="shared" si="2"/>
        <v>0</v>
      </c>
      <c r="K16" s="102">
        <f t="shared" si="3"/>
        <v>0</v>
      </c>
      <c r="L16" s="18"/>
    </row>
    <row r="17" spans="1:12" x14ac:dyDescent="0.2">
      <c r="A17" s="100" t="s">
        <v>99</v>
      </c>
      <c r="B17" s="101">
        <v>0</v>
      </c>
      <c r="C17" s="101">
        <v>0</v>
      </c>
      <c r="D17" s="101">
        <v>0</v>
      </c>
      <c r="E17" s="102">
        <v>0</v>
      </c>
      <c r="F17" s="18"/>
      <c r="G17" s="100" t="s">
        <v>99</v>
      </c>
      <c r="H17" s="101">
        <f t="shared" si="0"/>
        <v>0</v>
      </c>
      <c r="I17" s="101">
        <f t="shared" si="1"/>
        <v>0</v>
      </c>
      <c r="J17" s="101">
        <f t="shared" si="2"/>
        <v>0</v>
      </c>
      <c r="K17" s="102">
        <f t="shared" si="3"/>
        <v>0</v>
      </c>
      <c r="L17" s="18"/>
    </row>
    <row r="18" spans="1:12" x14ac:dyDescent="0.2">
      <c r="A18" s="100" t="s">
        <v>100</v>
      </c>
      <c r="B18" s="101">
        <v>0</v>
      </c>
      <c r="C18" s="101">
        <v>0</v>
      </c>
      <c r="D18" s="101">
        <v>0</v>
      </c>
      <c r="E18" s="102">
        <v>0</v>
      </c>
      <c r="F18" s="18"/>
      <c r="G18" s="100" t="s">
        <v>100</v>
      </c>
      <c r="H18" s="101">
        <f t="shared" si="0"/>
        <v>0</v>
      </c>
      <c r="I18" s="101">
        <f t="shared" si="1"/>
        <v>0</v>
      </c>
      <c r="J18" s="101">
        <f t="shared" si="2"/>
        <v>0</v>
      </c>
      <c r="K18" s="102">
        <f t="shared" si="3"/>
        <v>0</v>
      </c>
      <c r="L18" s="18"/>
    </row>
    <row r="19" spans="1:12" x14ac:dyDescent="0.2">
      <c r="A19" s="100" t="s">
        <v>101</v>
      </c>
      <c r="B19" s="101">
        <v>0</v>
      </c>
      <c r="C19" s="101">
        <v>0</v>
      </c>
      <c r="D19" s="101">
        <v>0</v>
      </c>
      <c r="E19" s="102">
        <v>0</v>
      </c>
      <c r="F19" s="18"/>
      <c r="G19" s="100" t="s">
        <v>101</v>
      </c>
      <c r="H19" s="101">
        <f t="shared" si="0"/>
        <v>0</v>
      </c>
      <c r="I19" s="101">
        <f t="shared" si="1"/>
        <v>0</v>
      </c>
      <c r="J19" s="101">
        <f t="shared" si="2"/>
        <v>0</v>
      </c>
      <c r="K19" s="102">
        <f t="shared" si="3"/>
        <v>0</v>
      </c>
      <c r="L19" s="18"/>
    </row>
    <row r="20" spans="1:12" ht="13.5" thickBot="1" x14ac:dyDescent="0.25">
      <c r="A20" s="103" t="s">
        <v>102</v>
      </c>
      <c r="B20" s="104">
        <v>0</v>
      </c>
      <c r="C20" s="104">
        <v>0</v>
      </c>
      <c r="D20" s="104">
        <v>0</v>
      </c>
      <c r="E20" s="105">
        <v>0</v>
      </c>
      <c r="F20" s="18"/>
      <c r="G20" s="103" t="s">
        <v>102</v>
      </c>
      <c r="H20" s="104">
        <f t="shared" si="0"/>
        <v>0</v>
      </c>
      <c r="I20" s="104">
        <f t="shared" si="1"/>
        <v>0</v>
      </c>
      <c r="J20" s="104">
        <f t="shared" si="2"/>
        <v>0</v>
      </c>
      <c r="K20" s="105">
        <f t="shared" si="3"/>
        <v>0</v>
      </c>
      <c r="L20" s="18"/>
    </row>
    <row r="21" spans="1:12" x14ac:dyDescent="0.2">
      <c r="A21" s="106"/>
      <c r="B21" s="107"/>
      <c r="C21" s="107"/>
      <c r="D21" s="107"/>
      <c r="E21" s="107"/>
      <c r="F21" s="18"/>
      <c r="G21" s="106"/>
      <c r="H21" s="107"/>
      <c r="I21" s="107"/>
      <c r="J21" s="107"/>
      <c r="K21" s="107"/>
      <c r="L21" s="18"/>
    </row>
  </sheetData>
  <mergeCells count="4">
    <mergeCell ref="A1:K1"/>
    <mergeCell ref="A2:K2"/>
    <mergeCell ref="A3:K3"/>
    <mergeCell ref="G7:K7"/>
  </mergeCells>
  <phoneticPr fontId="0" type="noConversion"/>
  <conditionalFormatting sqref="H11:K20 B11:E20">
    <cfRule type="cellIs" dxfId="0" priority="1" stopIfTrue="1" operator="equal">
      <formula>""</formula>
    </cfRule>
  </conditionalFormatting>
  <dataValidations count="1">
    <dataValidation type="list" allowBlank="1" showInputMessage="1" showErrorMessage="1" sqref="G7" xr:uid="{00000000-0002-0000-0200-000000000000}">
      <formula1>"Proposed,Sold"</formula1>
    </dataValidation>
  </dataValidations>
  <printOptions horizontalCentered="1"/>
  <pageMargins left="0.5" right="0.5" top="1" bottom="1" header="0.4921259845" footer="0.4921259845"/>
  <pageSetup orientation="landscape" r:id="rId1"/>
  <headerFooter alignWithMargins="0">
    <oddFooter>&amp;C&amp;1#&amp;"Calibri"&amp;10&amp;K000000Information à usage interne - Internal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C7990774C48C44AA5F7F66B466CF99" ma:contentTypeVersion="15" ma:contentTypeDescription="Create a new document." ma:contentTypeScope="" ma:versionID="a58242e05fcaab0ed8c7cbdad192adc6">
  <xsd:schema xmlns:xsd="http://www.w3.org/2001/XMLSchema" xmlns:xs="http://www.w3.org/2001/XMLSchema" xmlns:p="http://schemas.microsoft.com/office/2006/metadata/properties" xmlns:ns2="5c4f308a-d5f7-4964-bfa1-c0e55c0f7b63" xmlns:ns3="c52ebd95-5fe8-40e1-acdc-78d449df99dc" targetNamespace="http://schemas.microsoft.com/office/2006/metadata/properties" ma:root="true" ma:fieldsID="2fefc8a785ac4e260f34dd904e2243b9" ns2:_="" ns3:_="">
    <xsd:import namespace="5c4f308a-d5f7-4964-bfa1-c0e55c0f7b63"/>
    <xsd:import namespace="c52ebd95-5fe8-40e1-acdc-78d449df99d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Content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4f308a-d5f7-4964-bfa1-c0e55c0f7b6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99e20e2-9ef9-40f6-a1fa-a1fcef419f69}" ma:internalName="TaxCatchAll" ma:showField="CatchAllData" ma:web="5c4f308a-d5f7-4964-bfa1-c0e55c0f7b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2ebd95-5fe8-40e1-acdc-78d449df99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ontent" ma:index="18" nillable="true" ma:displayName="Content" ma:description="what is in this message" ma:format="Dropdown" ma:internalName="Content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039845-d277-466e-a9af-ee1ca770c93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ntent xmlns="c52ebd95-5fe8-40e1-acdc-78d449df99dc" xsi:nil="true"/>
    <TaxCatchAll xmlns="5c4f308a-d5f7-4964-bfa1-c0e55c0f7b63" xsi:nil="true"/>
    <lcf76f155ced4ddcb4097134ff3c332f xmlns="c52ebd95-5fe8-40e1-acdc-78d449df99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D5493C9-E3C0-453F-B395-7DA90767A15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45B8CB-DDD4-4312-B9F9-34D87CD92D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4f308a-d5f7-4964-bfa1-c0e55c0f7b63"/>
    <ds:schemaRef ds:uri="c52ebd95-5fe8-40e1-acdc-78d449df99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A0A2A14-37DB-4CE1-8BF8-0A153A4A58F6}">
  <ds:schemaRefs>
    <ds:schemaRef ds:uri="http://purl.org/dc/terms/"/>
    <ds:schemaRef ds:uri="http://schemas.openxmlformats.org/package/2006/metadata/core-properties"/>
    <ds:schemaRef ds:uri="c52ebd95-5fe8-40e1-acdc-78d449df99dc"/>
    <ds:schemaRef ds:uri="http://purl.org/dc/dcmitype/"/>
    <ds:schemaRef ds:uri="5c4f308a-d5f7-4964-bfa1-c0e55c0f7b63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Required Inputs</vt:lpstr>
      <vt:lpstr>Rate Sheet Template</vt:lpstr>
      <vt:lpstr>Step Rate Template</vt:lpstr>
      <vt:lpstr>'Rate Sheet Template'!Print_Area</vt:lpstr>
      <vt:lpstr>'Rate Sheet Template'!Print_Titles</vt:lpstr>
    </vt:vector>
  </TitlesOfParts>
  <Manager/>
  <Company>Manulife Financial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lamprse</dc:creator>
  <cp:keywords/>
  <dc:description/>
  <cp:lastModifiedBy>Noemi De Vera</cp:lastModifiedBy>
  <cp:revision/>
  <dcterms:created xsi:type="dcterms:W3CDTF">2005-02-16T17:46:57Z</dcterms:created>
  <dcterms:modified xsi:type="dcterms:W3CDTF">2026-03-10T22:55:53Z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0x010100F3C7990774C48C44AA5F7F66B466CF99</vt:lpwstr>
  </property>
  <property fmtid="{D5CDD505-2E9C-101B-9397-08002B2CF9AE}" pid="3" name="MSIP_Label_9a468cac-3ed3-4aa7-9fa5-1e8c064cf1ed_Enabled">
    <vt:lpwstr>true</vt:lpwstr>
  </property>
  <property fmtid="{D5CDD505-2E9C-101B-9397-08002B2CF9AE}" pid="4" name="MSIP_Label_9a468cac-3ed3-4aa7-9fa5-1e8c064cf1ed_SetDate">
    <vt:lpwstr>2023-05-05T18:41:23Z</vt:lpwstr>
  </property>
  <property fmtid="{D5CDD505-2E9C-101B-9397-08002B2CF9AE}" pid="5" name="MSIP_Label_9a468cac-3ed3-4aa7-9fa5-1e8c064cf1ed_Method">
    <vt:lpwstr>Privileged</vt:lpwstr>
  </property>
  <property fmtid="{D5CDD505-2E9C-101B-9397-08002B2CF9AE}" pid="6" name="MSIP_Label_9a468cac-3ed3-4aa7-9fa5-1e8c064cf1ed_Name">
    <vt:lpwstr>Information à usage interne - Internal</vt:lpwstr>
  </property>
  <property fmtid="{D5CDD505-2E9C-101B-9397-08002B2CF9AE}" pid="7" name="MSIP_Label_9a468cac-3ed3-4aa7-9fa5-1e8c064cf1ed_SiteId">
    <vt:lpwstr>5d3e2773-e07f-4432-a630-1a0f68a28a05</vt:lpwstr>
  </property>
  <property fmtid="{D5CDD505-2E9C-101B-9397-08002B2CF9AE}" pid="8" name="MSIP_Label_9a468cac-3ed3-4aa7-9fa5-1e8c064cf1ed_ActionId">
    <vt:lpwstr>0cae67f5-2eeb-4ed7-a96f-259d00fe928a</vt:lpwstr>
  </property>
  <property fmtid="{D5CDD505-2E9C-101B-9397-08002B2CF9AE}" pid="9" name="MSIP_Label_9a468cac-3ed3-4aa7-9fa5-1e8c064cf1ed_ContentBits">
    <vt:lpwstr>2</vt:lpwstr>
  </property>
  <property fmtid="{D5CDD505-2E9C-101B-9397-08002B2CF9AE}" pid="10" name="_ExtendedDescription">
    <vt:lpwstr/>
  </property>
  <property fmtid="{D5CDD505-2E9C-101B-9397-08002B2CF9AE}" pid="11" name="MediaServiceImageTags">
    <vt:lpwstr/>
  </property>
</Properties>
</file>