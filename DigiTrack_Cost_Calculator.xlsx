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 Calculator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<sst xmlns="http://schemas.openxmlformats.org/spreadsheetml/2006/main" count="63" uniqueCount="63">
  <si>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Input Parameters</t>
  </si>
  <si>
    <t>Value</t>
  </si>
  <si>
    <t>Total users</t>
  </si>
  <si>
    <t>Peak concurrent</t>
  </si>
  <si>
    <t>Leaders (report consumers)</t>
  </si>
  <si>
    <t>Daily inserts / user</t>
  </si>
  <si>
    <t>Data size (GB)</t>
  </si>
  <si>
    <t>Report runs / month</t>
  </si>
  <si>
    <t>ADF pipelines / month</t>
  </si>
  <si>
    <t>Databricks hours / month</t>
  </si>
  <si>
    <t>Synapse query data (TB)</t>
  </si>
  <si>
    <t>Intermediate Calculations</t>
  </si>
  <si>
    <t>exec</t>
  </si>
  <si>
    <t>gbs</t>
  </si>
  <si>
    <t>fcCons</t>
  </si>
  <si>
    <t>fcPrem</t>
  </si>
  <si>
    <t>sqlT</t>
  </si>
  <si>
    <t>sqlC</t>
  </si>
  <si>
    <t>cosmoC</t>
  </si>
  <si>
    <t>redisC</t>
  </si>
  <si>
    <t>redisPrem</t>
  </si>
  <si>
    <t>adfC</t>
  </si>
  <si>
    <t>dbStd</t>
  </si>
  <si>
    <t>dbPrem</t>
  </si>
  <si>
    <t>synSvl</t>
  </si>
  <si>
    <t>synDed</t>
  </si>
  <si>
    <t>pbiU</t>
  </si>
  <si>
    <t>pbiE</t>
  </si>
  <si>
    <t>swa</t>
  </si>
  <si>
    <t>vm</t>
  </si>
  <si>
    <t>Service</t>
  </si>
  <si>
    <t>A: Legacy (VM)</t>
  </si>
  <si>
    <t>B: SQL + Power BI</t>
  </si>
  <si>
    <t>C: SQL + Synapse</t>
  </si>
  <si>
    <t>D: Cosmos + PBI</t>
  </si>
  <si>
    <t>E: Cosmos + Databricks</t>
  </si>
  <si>
    <t>F: Full Enterprise</t>
  </si>
  <si>
    <t>--- Frontend ---</t>
  </si>
  <si>
    <t>VM D2s_v3 (app+host)</t>
  </si>
  <si>
    <t>Static Web Apps (Std)</t>
  </si>
  <si>
    <t>--- Compute ---</t>
  </si>
  <si>
    <t>Functions (Consumption)</t>
  </si>
  <si>
    <t>Functions (Premium EP1)</t>
  </si>
  <si>
    <t>--- Database ---</t>
  </si>
  <si>
    <t>Azure SQL</t>
  </si>
  <si>
    <t>SQL Synapse (Serverless)</t>
  </si>
  <si>
    <t>Cosmos DB (NoSQL)</t>
  </si>
  <si>
    <t>--- Cache ---</t>
  </si>
  <si>
    <t>File cache</t>
  </si>
  <si>
    <t>Redis Cache</t>
  </si>
  <si>
    <t>Redis Cache (Prem P1)</t>
  </si>
  <si>
    <t>--- Analytics ---</t>
  </si>
  <si>
    <t>Manual Excel reports</t>
  </si>
  <si>
    <t>Power BI Premium/user</t>
  </si>
  <si>
    <t>Power BI Embedded A1</t>
  </si>
  <si>
    <t>Databricks Standard</t>
  </si>
  <si>
    <t>Databricks Premium</t>
  </si>
  <si>
    <t>--- Integration ---</t>
  </si>
  <si>
    <t>ADF</t>
  </si>
  <si>
    <t>Synapse Dedicated</t>
  </si>
  <si>
    <t>Monthly Total</t>
  </si>
  <si>
    <t>Annual Total</t>
  </si>
  <si>
    <t>Delta vs. Legacy (A)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</si>
</sst>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3" borderId="1" xfId="0" applyFill="1" applyBorder="1"/>
    <xf numFmtId="164" fontId="0" fillId="0" borderId="0" xfId="0" applyNumberFormat="1"/>
    <xf numFmtId="164" fontId="1" fillId="0" borderId="2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width="25.7109375" customWidth="1"/>
    <col min="2" max="9" width="15.7109375" customWidth="1"/>
    <col min="11" max="12" width="0" hidden="1" customWidth="1"/>
  </cols>
  <sheetData>
    <row r="1" spans="1:12">
      <c r="A1" s="1" t="s">
        <v>0</v>
      </c>
      <c r="B1" s="1" t="s">
        <v>1</v>
      </c>
      <c r="K1" t="s">
        <v>11</v>
      </c>
    </row>
    <row r="2" spans="1:12">
      <c r="A2" s="2" t="s">
        <v>2</v>
      </c>
      <c r="B2" s="3">
        <v>2000</v>
      </c>
      <c r="K2" t="s">
        <v>12</v>
      </c>
      <c r="L2">
        <f>B2 * 120 * 30</f>
        <v>0</v>
      </c>
    </row>
    <row r="3" spans="1:12">
      <c r="A3" s="2" t="s">
        <v>3</v>
      </c>
      <c r="B3" s="3">
        <v>500</v>
      </c>
      <c r="K3" t="s">
        <v>13</v>
      </c>
      <c r="L3">
        <f>L2 * 0.5 * 0.4</f>
        <v>0</v>
      </c>
    </row>
    <row r="4" spans="1:12">
      <c r="A4" s="2" t="s">
        <v>4</v>
      </c>
      <c r="B4" s="3">
        <v>100</v>
      </c>
      <c r="K4" t="s">
        <v>14</v>
      </c>
      <c r="L4">
        <f>MAX(0, (MAX(0, L2 - 1000000) / 1000000 * 0.20) + (MAX(0, L3 - 400000) * 0.000016))</f>
        <v>0</v>
      </c>
    </row>
    <row r="5" spans="1:12">
      <c r="A5" s="2" t="s">
        <v>5</v>
      </c>
      <c r="B5" s="3">
        <v>50</v>
      </c>
      <c r="K5" t="s">
        <v>15</v>
      </c>
      <c r="L5">
        <f>162</f>
        <v>0</v>
      </c>
    </row>
    <row r="6" spans="1:12">
      <c r="A6" s="2" t="s">
        <v>6</v>
      </c>
      <c r="B6" s="3">
        <v>100</v>
      </c>
      <c r="K6" t="s">
        <v>16</v>
      </c>
      <c r="L6">
        <f>IF(B3&lt;=200, 30, IF(B3&lt;=500, 75, IF(B3&lt;=1000, 100, IF(B3&lt;=2000, 150, IF(B3&lt;=3000, 300, 600)))))</f>
        <v>0</v>
      </c>
    </row>
    <row r="7" spans="1:12">
      <c r="A7" s="2" t="s">
        <v>7</v>
      </c>
      <c r="B7" s="3">
        <v>30</v>
      </c>
      <c r="K7" t="s">
        <v>17</v>
      </c>
      <c r="L7">
        <f>L6 + MAX(0, B6 - 250) * 0.10</f>
        <v>0</v>
      </c>
    </row>
    <row r="8" spans="1:12">
      <c r="A8" s="2" t="s">
        <v>8</v>
      </c>
      <c r="B8" s="3">
        <v>100</v>
      </c>
      <c r="K8" t="s">
        <v>18</v>
      </c>
      <c r="L8">
        <f>CEILING(MAX(400, B3 * 10) / 100, 1) * 0.008 * 730 + B6 * 0.25</f>
        <v>0</v>
      </c>
    </row>
    <row r="9" spans="1:12">
      <c r="A9" s="2" t="s">
        <v>9</v>
      </c>
      <c r="B9" s="3">
        <v>60</v>
      </c>
      <c r="K9" t="s">
        <v>19</v>
      </c>
      <c r="L9">
        <f>IF(B3&lt;=500, 54, IF(B3&lt;=1500, 135, IF(B3&lt;=3000, 327, 654)))</f>
        <v>0</v>
      </c>
    </row>
    <row r="10" spans="1:12">
      <c r="A10" s="2" t="s">
        <v>10</v>
      </c>
      <c r="B10" s="3">
        <v>0.5</v>
      </c>
      <c r="K10" t="s">
        <v>20</v>
      </c>
      <c r="L10">
        <f>IF(B3&lt;=1000, 327, IF(B3&lt;=2000, 654, 1308))</f>
        <v>0</v>
      </c>
    </row>
    <row r="11" spans="1:12">
      <c r="K11" t="s">
        <v>21</v>
      </c>
      <c r="L11">
        <f>50 + B8 * 0.001 + B7 * 0.02</f>
        <v>0</v>
      </c>
    </row>
    <row r="12" spans="1:12">
      <c r="K12" t="s">
        <v>22</v>
      </c>
      <c r="L12">
        <f>B9 * 8 * 0.07 + B9 * 5</f>
        <v>0</v>
      </c>
    </row>
    <row r="13" spans="1:12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36</v>
      </c>
      <c r="K13" t="s">
        <v>23</v>
      </c>
      <c r="L13">
        <f>B9 * 8 * 0.15 + B9 * 5</f>
        <v>0</v>
      </c>
    </row>
    <row r="14" spans="1:12">
      <c r="A14" s="2" t="s">
        <v>37</v>
      </c>
      <c r="K14" t="s">
        <v>24</v>
      </c>
      <c r="L14">
        <f>B10 * 5</f>
        <v>0</v>
      </c>
    </row>
    <row r="15" spans="1:12">
      <c r="A15" t="s">
        <v>38</v>
      </c>
      <c r="B15" s="4">
        <f>L19</f>
        <v>0</v>
      </c>
      <c r="K15" t="s">
        <v>25</v>
      </c>
      <c r="L15">
        <f>1.2 * 8 * 30</f>
        <v>0</v>
      </c>
    </row>
    <row r="16" spans="1:12">
      <c r="A16" t="s">
        <v>39</v>
      </c>
      <c r="C16" s="4">
        <f>L18</f>
        <v>0</v>
      </c>
      <c r="D16" s="4">
        <f>L18</f>
        <v>0</v>
      </c>
      <c r="E16" s="4">
        <f>L18</f>
        <v>0</v>
      </c>
      <c r="F16" s="4">
        <f>L18</f>
        <v>0</v>
      </c>
      <c r="G16" s="4">
        <f>L18</f>
        <v>0</v>
      </c>
      <c r="K16" t="s">
        <v>26</v>
      </c>
      <c r="L16">
        <f>B4 * 20</f>
        <v>0</v>
      </c>
    </row>
    <row r="17" spans="1:12">
      <c r="A17" s="2" t="s">
        <v>40</v>
      </c>
      <c r="K17" t="s">
        <v>27</v>
      </c>
      <c r="L17">
        <f>735</f>
        <v>0</v>
      </c>
    </row>
    <row r="18" spans="1:12">
      <c r="A18" t="s">
        <v>41</v>
      </c>
      <c r="C18" s="4">
        <f>L4</f>
        <v>0</v>
      </c>
      <c r="D18" s="4">
        <f>L4</f>
        <v>0</v>
      </c>
      <c r="K18" t="s">
        <v>28</v>
      </c>
      <c r="L18">
        <f>9</f>
        <v>0</v>
      </c>
    </row>
    <row r="19" spans="1:12">
      <c r="A19" t="s">
        <v>42</v>
      </c>
      <c r="E19" s="4">
        <f>L5</f>
        <v>0</v>
      </c>
      <c r="F19" s="4">
        <f>L5</f>
        <v>0</v>
      </c>
      <c r="G19" s="4">
        <f>L5</f>
        <v>0</v>
      </c>
      <c r="K19" t="s">
        <v>29</v>
      </c>
      <c r="L19">
        <f>IF(B2&lt;=500, 140, IF(B2&lt;=2000, 280, 560))</f>
        <v>0</v>
      </c>
    </row>
    <row r="20" spans="1:12">
      <c r="A20" s="2" t="s">
        <v>43</v>
      </c>
    </row>
    <row r="21" spans="1:12">
      <c r="A21" t="s">
        <v>44</v>
      </c>
      <c r="B21" s="4">
        <f>L7</f>
        <v>0</v>
      </c>
      <c r="C21" s="4">
        <f>L7</f>
        <v>0</v>
      </c>
      <c r="D21" s="4">
        <f>L7</f>
        <v>0</v>
      </c>
    </row>
    <row r="22" spans="1:12">
      <c r="A22" t="s">
        <v>45</v>
      </c>
      <c r="D22" s="4">
        <f>L14</f>
        <v>0</v>
      </c>
    </row>
    <row r="23" spans="1:12">
      <c r="A23" t="s">
        <v>46</v>
      </c>
      <c r="E23" s="4">
        <f>L8</f>
        <v>0</v>
      </c>
      <c r="F23" s="4">
        <f>L8</f>
        <v>0</v>
      </c>
      <c r="G23" s="4">
        <f>L8</f>
        <v>0</v>
      </c>
    </row>
    <row r="24" spans="1:12">
      <c r="A24" s="2" t="s">
        <v>47</v>
      </c>
    </row>
    <row r="25" spans="1:12">
      <c r="A25" t="s">
        <v>48</v>
      </c>
      <c r="B25" s="4">
        <v>0</v>
      </c>
    </row>
    <row r="26" spans="1:12">
      <c r="A26" t="s">
        <v>49</v>
      </c>
      <c r="C26" s="4">
        <f>L9</f>
        <v>0</v>
      </c>
      <c r="D26" s="4">
        <f>L9</f>
        <v>0</v>
      </c>
      <c r="E26" s="4">
        <f>L9</f>
        <v>0</v>
      </c>
      <c r="F26" s="4">
        <f>L9</f>
        <v>0</v>
      </c>
    </row>
    <row r="27" spans="1:12">
      <c r="A27" t="s">
        <v>50</v>
      </c>
      <c r="G27" s="4">
        <f>L10</f>
        <v>0</v>
      </c>
    </row>
    <row r="28" spans="1:12">
      <c r="A28" s="2" t="s">
        <v>51</v>
      </c>
    </row>
    <row r="29" spans="1:12">
      <c r="A29" t="s">
        <v>52</v>
      </c>
      <c r="B29" s="4">
        <v>0</v>
      </c>
    </row>
    <row r="30" spans="1:12">
      <c r="A30" t="s">
        <v>53</v>
      </c>
      <c r="C30" s="4">
        <f>L16</f>
        <v>0</v>
      </c>
    </row>
    <row r="31" spans="1:12">
      <c r="A31" t="s">
        <v>54</v>
      </c>
      <c r="D31" s="4">
        <f>L17</f>
        <v>0</v>
      </c>
      <c r="E31" s="4">
        <f>L17</f>
        <v>0</v>
      </c>
      <c r="G31" s="4">
        <f>L17</f>
        <v>0</v>
      </c>
    </row>
    <row r="32" spans="1:12">
      <c r="A32" t="s">
        <v>55</v>
      </c>
      <c r="F32" s="4">
        <f>L12</f>
        <v>0</v>
      </c>
    </row>
    <row r="33" spans="1:7">
      <c r="A33" t="s">
        <v>56</v>
      </c>
      <c r="G33" s="4">
        <f>L13</f>
        <v>0</v>
      </c>
    </row>
    <row r="34" spans="1:7">
      <c r="A34" s="2" t="s">
        <v>57</v>
      </c>
    </row>
    <row r="35" spans="1:7">
      <c r="A35" t="s">
        <v>58</v>
      </c>
      <c r="C35" s="4">
        <f>L11</f>
        <v>0</v>
      </c>
      <c r="D35" s="4">
        <f>L11</f>
        <v>0</v>
      </c>
      <c r="E35" s="4">
        <f>L11</f>
        <v>0</v>
      </c>
      <c r="F35" s="4">
        <f>L11</f>
        <v>0</v>
      </c>
      <c r="G35" s="4">
        <f>L11</f>
        <v>0</v>
      </c>
    </row>
    <row r="36" spans="1:7">
      <c r="A36" t="s">
        <v>59</v>
      </c>
      <c r="G36" s="4">
        <f>L15</f>
        <v>0</v>
      </c>
    </row>
    <row r="37" spans="1:7">
      <c r="A37" s="5" t="s">
        <v>60</v>
      </c>
      <c r="B37" s="5">
        <f>SUM(B14:B36)</f>
        <v>0</v>
      </c>
      <c r="C37" s="5">
        <f>SUM(C14:C36)</f>
        <v>0</v>
      </c>
      <c r="D37" s="5">
        <f>SUM(D14:D36)</f>
        <v>0</v>
      </c>
      <c r="E37" s="5">
        <f>SUM(E14:E36)</f>
        <v>0</v>
      </c>
      <c r="F37" s="5">
        <f>SUM(F14:F36)</f>
        <v>0</v>
      </c>
      <c r="G37" s="5">
        <f>SUM(G14:G36)</f>
        <v>0</v>
      </c>
    </row>
    <row r="38" spans="1:7">
      <c r="A38" s="2" t="s">
        <v>61</v>
      </c>
      <c r="B38" s="4">
        <f>B37 * 12</f>
        <v>0</v>
      </c>
      <c r="C38" s="4">
        <f>C37 * 12</f>
        <v>0</v>
      </c>
      <c r="D38" s="4">
        <f>D37 * 12</f>
        <v>0</v>
      </c>
      <c r="E38" s="4">
        <f>E37 * 12</f>
        <v>0</v>
      </c>
      <c r="F38" s="4">
        <f>F37 * 12</f>
        <v>0</v>
      </c>
      <c r="G38" s="4">
        <f>G37 * 12</f>
        <v>0</v>
      </c>
    </row>
    <row r="39" spans="1:7">
      <c r="A39" s="2" t="s">
        <v>62</v>
      </c>
      <c r="C39" s="6">
        <f>C37 - B37</f>
        <v>0</v>
      </c>
      <c r="D39" s="6">
        <f>D37 - B37</f>
        <v>0</v>
      </c>
      <c r="E39" s="6">
        <f>E37 - B37</f>
        <v>0</v>
      </c>
      <c r="F39" s="6">
        <f>F37 - B37</f>
        <v>0</v>
      </c>
      <c r="G39" s="6">
        <f>G37 - B37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2026-04-28T09:44:59Z</dcterms:created>
  <dcterms:modified xsi:type="dcterms:W3CDTF">2026-04-28T09:44:59Z</dcterms:modified>
</cp:coreProperties>
</file>