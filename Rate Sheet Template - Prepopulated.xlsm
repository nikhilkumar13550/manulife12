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mfc-my.sharepoint.com/personal/deverno_mfcgd_com/Documents/Desktop/Projects/Rate Sheet/"/>
    </mc:Choice>
  </mc:AlternateContent>
  <xr:revisionPtr revIDLastSave="0" documentId="8_{89E17529-C31E-46A2-87B6-877B97E79DD6}" xr6:coauthVersionLast="47" xr6:coauthVersionMax="47" xr10:uidLastSave="{00000000-0000-0000-0000-000000000000}"/>
  <bookViews>
    <workbookView xWindow="28680" yWindow="-120" windowWidth="29040" windowHeight="15720" xr2:uid="{8F0E4872-12E4-4976-B1F6-E3E49D5C4C9B}"/>
  </bookViews>
  <sheets>
    <sheet name="Sheet2" sheetId="2" r:id="rId1"/>
    <sheet name="Sheet1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3" l="1"/>
  <c r="J20" i="3"/>
  <c r="I20" i="3"/>
  <c r="H20" i="3"/>
  <c r="K19" i="3"/>
  <c r="J19" i="3"/>
  <c r="I19" i="3"/>
  <c r="H19" i="3"/>
  <c r="K18" i="3"/>
  <c r="J18" i="3"/>
  <c r="I18" i="3"/>
  <c r="H18" i="3"/>
  <c r="K17" i="3"/>
  <c r="J17" i="3"/>
  <c r="I17" i="3"/>
  <c r="H17" i="3"/>
  <c r="K16" i="3"/>
  <c r="J16" i="3"/>
  <c r="I16" i="3"/>
  <c r="H16" i="3"/>
  <c r="K15" i="3"/>
  <c r="J15" i="3"/>
  <c r="I15" i="3"/>
  <c r="H15" i="3"/>
  <c r="K14" i="3"/>
  <c r="J14" i="3"/>
  <c r="I14" i="3"/>
  <c r="H14" i="3"/>
  <c r="K13" i="3"/>
  <c r="J13" i="3"/>
  <c r="I13" i="3"/>
  <c r="H13" i="3"/>
  <c r="K12" i="3"/>
  <c r="J12" i="3"/>
  <c r="I12" i="3"/>
  <c r="H12" i="3"/>
  <c r="K11" i="3"/>
  <c r="J11" i="3"/>
  <c r="I11" i="3"/>
  <c r="H11" i="3"/>
  <c r="J9" i="3"/>
  <c r="H9" i="3"/>
  <c r="A3" i="3"/>
  <c r="A2" i="3"/>
  <c r="A1" i="3"/>
  <c r="N221" i="2"/>
  <c r="P16" i="2"/>
  <c r="O16" i="2"/>
  <c r="Q16" i="2" s="1"/>
  <c r="R16" i="2" s="1"/>
  <c r="M16" i="2"/>
  <c r="U16" i="2" s="1"/>
  <c r="P27" i="2"/>
  <c r="O27" i="2"/>
  <c r="Q27" i="2" s="1"/>
  <c r="R27" i="2" s="1"/>
  <c r="M27" i="2"/>
  <c r="U27" i="2" s="1"/>
  <c r="P38" i="2"/>
  <c r="O38" i="2"/>
  <c r="M38" i="2"/>
  <c r="U38" i="2" s="1"/>
  <c r="P49" i="2"/>
  <c r="O49" i="2"/>
  <c r="M49" i="2"/>
  <c r="U49" i="2" s="1"/>
  <c r="P60" i="2"/>
  <c r="O60" i="2"/>
  <c r="M60" i="2"/>
  <c r="U60" i="2" s="1"/>
  <c r="P71" i="2"/>
  <c r="O71" i="2"/>
  <c r="M71" i="2"/>
  <c r="U71" i="2" s="1"/>
  <c r="O195" i="2"/>
  <c r="Q195" i="2" s="1"/>
  <c r="R195" i="2" s="1"/>
  <c r="M195" i="2"/>
  <c r="U195" i="2" s="1"/>
  <c r="O194" i="2"/>
  <c r="Q194" i="2" s="1"/>
  <c r="R194" i="2" s="1"/>
  <c r="M194" i="2"/>
  <c r="U194" i="2" s="1"/>
  <c r="O193" i="2"/>
  <c r="Q193" i="2" s="1"/>
  <c r="R193" i="2" s="1"/>
  <c r="M193" i="2"/>
  <c r="U193" i="2" s="1"/>
  <c r="O192" i="2"/>
  <c r="Q192" i="2" s="1"/>
  <c r="R192" i="2" s="1"/>
  <c r="M192" i="2"/>
  <c r="U192" i="2" s="1"/>
  <c r="O191" i="2"/>
  <c r="Q191" i="2" s="1"/>
  <c r="R191" i="2" s="1"/>
  <c r="M191" i="2"/>
  <c r="U191" i="2" s="1"/>
  <c r="O206" i="2"/>
  <c r="Q206" i="2" s="1"/>
  <c r="R206" i="2" s="1"/>
  <c r="M206" i="2"/>
  <c r="U206" i="2" s="1"/>
  <c r="O205" i="2"/>
  <c r="Q205" i="2" s="1"/>
  <c r="R205" i="2" s="1"/>
  <c r="M205" i="2"/>
  <c r="U205" i="2" s="1"/>
  <c r="O204" i="2"/>
  <c r="Q204" i="2" s="1"/>
  <c r="R204" i="2" s="1"/>
  <c r="M204" i="2"/>
  <c r="U204" i="2" s="1"/>
  <c r="O203" i="2"/>
  <c r="Q203" i="2" s="1"/>
  <c r="R203" i="2" s="1"/>
  <c r="M203" i="2"/>
  <c r="U203" i="2" s="1"/>
  <c r="O202" i="2"/>
  <c r="Q202" i="2" s="1"/>
  <c r="R202" i="2" s="1"/>
  <c r="M202" i="2"/>
  <c r="U202" i="2" s="1"/>
  <c r="O184" i="2"/>
  <c r="Q184" i="2" s="1"/>
  <c r="R184" i="2" s="1"/>
  <c r="M184" i="2"/>
  <c r="U184" i="2" s="1"/>
  <c r="O183" i="2"/>
  <c r="Q183" i="2" s="1"/>
  <c r="R183" i="2" s="1"/>
  <c r="M183" i="2"/>
  <c r="U183" i="2" s="1"/>
  <c r="O182" i="2"/>
  <c r="Q182" i="2" s="1"/>
  <c r="R182" i="2" s="1"/>
  <c r="M182" i="2"/>
  <c r="U182" i="2" s="1"/>
  <c r="O181" i="2"/>
  <c r="Q181" i="2" s="1"/>
  <c r="R181" i="2" s="1"/>
  <c r="M181" i="2"/>
  <c r="U181" i="2" s="1"/>
  <c r="O180" i="2"/>
  <c r="Q180" i="2" s="1"/>
  <c r="R180" i="2" s="1"/>
  <c r="M180" i="2"/>
  <c r="U180" i="2" s="1"/>
  <c r="P173" i="2"/>
  <c r="O173" i="2"/>
  <c r="M173" i="2"/>
  <c r="U173" i="2" s="1"/>
  <c r="P172" i="2"/>
  <c r="O172" i="2"/>
  <c r="M172" i="2"/>
  <c r="N172" i="2" s="1"/>
  <c r="P171" i="2"/>
  <c r="O171" i="2"/>
  <c r="M171" i="2"/>
  <c r="U171" i="2" s="1"/>
  <c r="P170" i="2"/>
  <c r="O170" i="2"/>
  <c r="M170" i="2"/>
  <c r="N170" i="2" s="1"/>
  <c r="P169" i="2"/>
  <c r="O169" i="2"/>
  <c r="M169" i="2"/>
  <c r="U169" i="2" s="1"/>
  <c r="P168" i="2"/>
  <c r="O168" i="2"/>
  <c r="M168" i="2"/>
  <c r="N168" i="2" s="1"/>
  <c r="P167" i="2"/>
  <c r="O167" i="2"/>
  <c r="M167" i="2"/>
  <c r="U167" i="2" s="1"/>
  <c r="P166" i="2"/>
  <c r="O166" i="2"/>
  <c r="M166" i="2"/>
  <c r="N166" i="2" s="1"/>
  <c r="P165" i="2"/>
  <c r="O165" i="2"/>
  <c r="M165" i="2"/>
  <c r="U165" i="2" s="1"/>
  <c r="P164" i="2"/>
  <c r="O164" i="2"/>
  <c r="M164" i="2"/>
  <c r="N164" i="2" s="1"/>
  <c r="P156" i="2"/>
  <c r="O156" i="2"/>
  <c r="M156" i="2"/>
  <c r="U156" i="2" s="1"/>
  <c r="P155" i="2"/>
  <c r="O155" i="2"/>
  <c r="M155" i="2"/>
  <c r="N155" i="2" s="1"/>
  <c r="P154" i="2"/>
  <c r="O154" i="2"/>
  <c r="M154" i="2"/>
  <c r="N154" i="2" s="1"/>
  <c r="P153" i="2"/>
  <c r="O153" i="2"/>
  <c r="M153" i="2"/>
  <c r="U153" i="2" s="1"/>
  <c r="P152" i="2"/>
  <c r="O152" i="2"/>
  <c r="M152" i="2"/>
  <c r="U152" i="2" s="1"/>
  <c r="P151" i="2"/>
  <c r="O151" i="2"/>
  <c r="M151" i="2"/>
  <c r="U151" i="2" s="1"/>
  <c r="P150" i="2"/>
  <c r="O150" i="2"/>
  <c r="M150" i="2"/>
  <c r="N150" i="2" s="1"/>
  <c r="P149" i="2"/>
  <c r="O149" i="2"/>
  <c r="M149" i="2"/>
  <c r="U149" i="2" s="1"/>
  <c r="P148" i="2"/>
  <c r="O148" i="2"/>
  <c r="M148" i="2"/>
  <c r="U148" i="2" s="1"/>
  <c r="P147" i="2"/>
  <c r="O147" i="2"/>
  <c r="M147" i="2"/>
  <c r="N147" i="2" s="1"/>
  <c r="P139" i="2"/>
  <c r="O139" i="2"/>
  <c r="M139" i="2"/>
  <c r="U139" i="2" s="1"/>
  <c r="P138" i="2"/>
  <c r="O138" i="2"/>
  <c r="M138" i="2"/>
  <c r="N138" i="2" s="1"/>
  <c r="P137" i="2"/>
  <c r="O137" i="2"/>
  <c r="M137" i="2"/>
  <c r="U137" i="2" s="1"/>
  <c r="P136" i="2"/>
  <c r="O136" i="2"/>
  <c r="M136" i="2"/>
  <c r="U136" i="2" s="1"/>
  <c r="P135" i="2"/>
  <c r="O135" i="2"/>
  <c r="M135" i="2"/>
  <c r="N135" i="2" s="1"/>
  <c r="P134" i="2"/>
  <c r="O134" i="2"/>
  <c r="M134" i="2"/>
  <c r="U134" i="2" s="1"/>
  <c r="P133" i="2"/>
  <c r="O133" i="2"/>
  <c r="M133" i="2"/>
  <c r="U133" i="2" s="1"/>
  <c r="P132" i="2"/>
  <c r="O132" i="2"/>
  <c r="M132" i="2"/>
  <c r="N132" i="2" s="1"/>
  <c r="P131" i="2"/>
  <c r="O131" i="2"/>
  <c r="M131" i="2"/>
  <c r="N131" i="2" s="1"/>
  <c r="P130" i="2"/>
  <c r="O130" i="2"/>
  <c r="M130" i="2"/>
  <c r="U130" i="2" s="1"/>
  <c r="P122" i="2"/>
  <c r="O122" i="2"/>
  <c r="M122" i="2"/>
  <c r="U122" i="2" s="1"/>
  <c r="P121" i="2"/>
  <c r="O121" i="2"/>
  <c r="M121" i="2"/>
  <c r="N121" i="2" s="1"/>
  <c r="P120" i="2"/>
  <c r="O120" i="2"/>
  <c r="M120" i="2"/>
  <c r="U120" i="2" s="1"/>
  <c r="P119" i="2"/>
  <c r="O119" i="2"/>
  <c r="M119" i="2"/>
  <c r="N119" i="2" s="1"/>
  <c r="P118" i="2"/>
  <c r="O118" i="2"/>
  <c r="M118" i="2"/>
  <c r="U118" i="2" s="1"/>
  <c r="P117" i="2"/>
  <c r="O117" i="2"/>
  <c r="M117" i="2"/>
  <c r="N117" i="2" s="1"/>
  <c r="P116" i="2"/>
  <c r="O116" i="2"/>
  <c r="M116" i="2"/>
  <c r="U116" i="2" s="1"/>
  <c r="P115" i="2"/>
  <c r="O115" i="2"/>
  <c r="M115" i="2"/>
  <c r="N115" i="2" s="1"/>
  <c r="P114" i="2"/>
  <c r="O114" i="2"/>
  <c r="M114" i="2"/>
  <c r="U114" i="2" s="1"/>
  <c r="P113" i="2"/>
  <c r="O113" i="2"/>
  <c r="M113" i="2"/>
  <c r="N113" i="2" s="1"/>
  <c r="P105" i="2"/>
  <c r="O105" i="2"/>
  <c r="M105" i="2"/>
  <c r="U105" i="2" s="1"/>
  <c r="P104" i="2"/>
  <c r="O104" i="2"/>
  <c r="M104" i="2"/>
  <c r="N104" i="2" s="1"/>
  <c r="P103" i="2"/>
  <c r="O103" i="2"/>
  <c r="M103" i="2"/>
  <c r="U103" i="2" s="1"/>
  <c r="P102" i="2"/>
  <c r="O102" i="2"/>
  <c r="M102" i="2"/>
  <c r="N102" i="2" s="1"/>
  <c r="P101" i="2"/>
  <c r="O101" i="2"/>
  <c r="M101" i="2"/>
  <c r="U101" i="2" s="1"/>
  <c r="P100" i="2"/>
  <c r="O100" i="2"/>
  <c r="M100" i="2"/>
  <c r="N100" i="2" s="1"/>
  <c r="P99" i="2"/>
  <c r="O99" i="2"/>
  <c r="M99" i="2"/>
  <c r="U99" i="2" s="1"/>
  <c r="P98" i="2"/>
  <c r="O98" i="2"/>
  <c r="M98" i="2"/>
  <c r="N98" i="2" s="1"/>
  <c r="P97" i="2"/>
  <c r="O97" i="2"/>
  <c r="M97" i="2"/>
  <c r="U97" i="2" s="1"/>
  <c r="P96" i="2"/>
  <c r="O96" i="2"/>
  <c r="M96" i="2"/>
  <c r="N96" i="2" s="1"/>
  <c r="P88" i="2"/>
  <c r="O88" i="2"/>
  <c r="M88" i="2"/>
  <c r="U88" i="2" s="1"/>
  <c r="P87" i="2"/>
  <c r="O87" i="2"/>
  <c r="M87" i="2"/>
  <c r="N87" i="2" s="1"/>
  <c r="P86" i="2"/>
  <c r="O86" i="2"/>
  <c r="M86" i="2"/>
  <c r="U86" i="2" s="1"/>
  <c r="P85" i="2"/>
  <c r="O85" i="2"/>
  <c r="M85" i="2"/>
  <c r="N85" i="2" s="1"/>
  <c r="P84" i="2"/>
  <c r="O84" i="2"/>
  <c r="M84" i="2"/>
  <c r="U84" i="2" s="1"/>
  <c r="P83" i="2"/>
  <c r="O83" i="2"/>
  <c r="M83" i="2"/>
  <c r="N83" i="2" s="1"/>
  <c r="P82" i="2"/>
  <c r="O82" i="2"/>
  <c r="M82" i="2"/>
  <c r="U82" i="2" s="1"/>
  <c r="P81" i="2"/>
  <c r="O81" i="2"/>
  <c r="M81" i="2"/>
  <c r="N81" i="2" s="1"/>
  <c r="P80" i="2"/>
  <c r="O80" i="2"/>
  <c r="M80" i="2"/>
  <c r="U80" i="2" s="1"/>
  <c r="P79" i="2"/>
  <c r="O79" i="2"/>
  <c r="M79" i="2"/>
  <c r="N79" i="2" s="1"/>
  <c r="P69" i="2"/>
  <c r="O69" i="2"/>
  <c r="M69" i="2"/>
  <c r="U69" i="2" s="1"/>
  <c r="P70" i="2"/>
  <c r="O70" i="2"/>
  <c r="M70" i="2"/>
  <c r="U70" i="2" s="1"/>
  <c r="P68" i="2"/>
  <c r="O68" i="2"/>
  <c r="M68" i="2"/>
  <c r="N68" i="2" s="1"/>
  <c r="P58" i="2"/>
  <c r="O58" i="2"/>
  <c r="M58" i="2"/>
  <c r="U58" i="2" s="1"/>
  <c r="I218" i="2"/>
  <c r="B218" i="2"/>
  <c r="O215" i="2"/>
  <c r="Q215" i="2" s="1"/>
  <c r="R215" i="2" s="1"/>
  <c r="M215" i="2"/>
  <c r="U215" i="2" s="1"/>
  <c r="O214" i="2"/>
  <c r="Q214" i="2" s="1"/>
  <c r="R214" i="2" s="1"/>
  <c r="M214" i="2"/>
  <c r="U214" i="2" s="1"/>
  <c r="O213" i="2"/>
  <c r="Q213" i="2" s="1"/>
  <c r="R213" i="2" s="1"/>
  <c r="M213" i="2"/>
  <c r="U213" i="2" s="1"/>
  <c r="O212" i="2"/>
  <c r="Q212" i="2" s="1"/>
  <c r="R212" i="2" s="1"/>
  <c r="M212" i="2"/>
  <c r="U212" i="2" s="1"/>
  <c r="O211" i="2"/>
  <c r="Q211" i="2" s="1"/>
  <c r="R211" i="2" s="1"/>
  <c r="R218" i="2" s="1"/>
  <c r="M211" i="2"/>
  <c r="U211" i="2" s="1"/>
  <c r="I208" i="2"/>
  <c r="B208" i="2"/>
  <c r="O201" i="2"/>
  <c r="Q201" i="2" s="1"/>
  <c r="R201" i="2" s="1"/>
  <c r="M201" i="2"/>
  <c r="N201" i="2" s="1"/>
  <c r="I198" i="2"/>
  <c r="B198" i="2"/>
  <c r="O190" i="2"/>
  <c r="Q190" i="2" s="1"/>
  <c r="R190" i="2" s="1"/>
  <c r="M190" i="2"/>
  <c r="U190" i="2" s="1"/>
  <c r="I187" i="2"/>
  <c r="B187" i="2"/>
  <c r="O179" i="2"/>
  <c r="Q179" i="2" s="1"/>
  <c r="R179" i="2" s="1"/>
  <c r="M179" i="2"/>
  <c r="U179" i="2" s="1"/>
  <c r="I176" i="2"/>
  <c r="B176" i="2"/>
  <c r="P163" i="2"/>
  <c r="O163" i="2"/>
  <c r="M163" i="2"/>
  <c r="U163" i="2" s="1"/>
  <c r="P162" i="2"/>
  <c r="O162" i="2"/>
  <c r="M162" i="2"/>
  <c r="N162" i="2" s="1"/>
  <c r="I159" i="2"/>
  <c r="B159" i="2"/>
  <c r="P146" i="2"/>
  <c r="O146" i="2"/>
  <c r="M146" i="2"/>
  <c r="N146" i="2" s="1"/>
  <c r="P145" i="2"/>
  <c r="O145" i="2"/>
  <c r="M145" i="2"/>
  <c r="U145" i="2" s="1"/>
  <c r="I142" i="2"/>
  <c r="B142" i="2"/>
  <c r="P129" i="2"/>
  <c r="O129" i="2"/>
  <c r="M129" i="2"/>
  <c r="U129" i="2" s="1"/>
  <c r="P128" i="2"/>
  <c r="O128" i="2"/>
  <c r="M128" i="2"/>
  <c r="N128" i="2" s="1"/>
  <c r="I125" i="2"/>
  <c r="B125" i="2"/>
  <c r="P112" i="2"/>
  <c r="O112" i="2"/>
  <c r="M112" i="2"/>
  <c r="N112" i="2" s="1"/>
  <c r="P111" i="2"/>
  <c r="O111" i="2"/>
  <c r="M111" i="2"/>
  <c r="U111" i="2" s="1"/>
  <c r="I108" i="2"/>
  <c r="B108" i="2"/>
  <c r="P95" i="2"/>
  <c r="O95" i="2"/>
  <c r="M95" i="2"/>
  <c r="U95" i="2" s="1"/>
  <c r="P94" i="2"/>
  <c r="O94" i="2"/>
  <c r="M94" i="2"/>
  <c r="N94" i="2" s="1"/>
  <c r="I91" i="2"/>
  <c r="B91" i="2"/>
  <c r="P78" i="2"/>
  <c r="O78" i="2"/>
  <c r="M78" i="2"/>
  <c r="N78" i="2" s="1"/>
  <c r="P77" i="2"/>
  <c r="O77" i="2"/>
  <c r="M77" i="2"/>
  <c r="U77" i="2" s="1"/>
  <c r="J74" i="2"/>
  <c r="I74" i="2"/>
  <c r="B74" i="2"/>
  <c r="P67" i="2"/>
  <c r="O67" i="2"/>
  <c r="M67" i="2"/>
  <c r="U67" i="2" s="1"/>
  <c r="P66" i="2"/>
  <c r="O66" i="2"/>
  <c r="M66" i="2"/>
  <c r="U66" i="2" s="1"/>
  <c r="J63" i="2"/>
  <c r="I63" i="2"/>
  <c r="B63" i="2"/>
  <c r="P59" i="2"/>
  <c r="O59" i="2"/>
  <c r="M59" i="2"/>
  <c r="U59" i="2" s="1"/>
  <c r="P57" i="2"/>
  <c r="O57" i="2"/>
  <c r="M57" i="2"/>
  <c r="U57" i="2" s="1"/>
  <c r="P56" i="2"/>
  <c r="O56" i="2"/>
  <c r="M56" i="2"/>
  <c r="U56" i="2" s="1"/>
  <c r="P55" i="2"/>
  <c r="O55" i="2"/>
  <c r="M55" i="2"/>
  <c r="U55" i="2" s="1"/>
  <c r="J52" i="2"/>
  <c r="I52" i="2"/>
  <c r="B52" i="2"/>
  <c r="P48" i="2"/>
  <c r="O48" i="2"/>
  <c r="M48" i="2"/>
  <c r="U48" i="2" s="1"/>
  <c r="P47" i="2"/>
  <c r="O47" i="2"/>
  <c r="M47" i="2"/>
  <c r="U47" i="2" s="1"/>
  <c r="P46" i="2"/>
  <c r="O46" i="2"/>
  <c r="M46" i="2"/>
  <c r="U46" i="2" s="1"/>
  <c r="P45" i="2"/>
  <c r="O45" i="2"/>
  <c r="M45" i="2"/>
  <c r="U45" i="2" s="1"/>
  <c r="P44" i="2"/>
  <c r="O44" i="2"/>
  <c r="M44" i="2"/>
  <c r="U44" i="2" s="1"/>
  <c r="J41" i="2"/>
  <c r="I41" i="2"/>
  <c r="B41" i="2"/>
  <c r="P37" i="2"/>
  <c r="O37" i="2"/>
  <c r="M37" i="2"/>
  <c r="U37" i="2" s="1"/>
  <c r="P36" i="2"/>
  <c r="O36" i="2"/>
  <c r="M36" i="2"/>
  <c r="U36" i="2" s="1"/>
  <c r="P35" i="2"/>
  <c r="O35" i="2"/>
  <c r="M35" i="2"/>
  <c r="N35" i="2" s="1"/>
  <c r="P34" i="2"/>
  <c r="O34" i="2"/>
  <c r="M34" i="2"/>
  <c r="U34" i="2" s="1"/>
  <c r="P33" i="2"/>
  <c r="O33" i="2"/>
  <c r="M33" i="2"/>
  <c r="N33" i="2" s="1"/>
  <c r="I30" i="2"/>
  <c r="B30" i="2"/>
  <c r="P26" i="2"/>
  <c r="O26" i="2"/>
  <c r="M26" i="2"/>
  <c r="N26" i="2" s="1"/>
  <c r="P25" i="2"/>
  <c r="O25" i="2"/>
  <c r="M25" i="2"/>
  <c r="U25" i="2" s="1"/>
  <c r="P24" i="2"/>
  <c r="O24" i="2"/>
  <c r="M24" i="2"/>
  <c r="U24" i="2" s="1"/>
  <c r="P23" i="2"/>
  <c r="O23" i="2"/>
  <c r="M23" i="2"/>
  <c r="N23" i="2" s="1"/>
  <c r="P22" i="2"/>
  <c r="O22" i="2"/>
  <c r="M22" i="2"/>
  <c r="U22" i="2" s="1"/>
  <c r="J19" i="2"/>
  <c r="I19" i="2"/>
  <c r="B19" i="2"/>
  <c r="P15" i="2"/>
  <c r="O15" i="2"/>
  <c r="M15" i="2"/>
  <c r="N15" i="2" s="1"/>
  <c r="P14" i="2"/>
  <c r="O14" i="2"/>
  <c r="M14" i="2"/>
  <c r="U14" i="2" s="1"/>
  <c r="P13" i="2"/>
  <c r="O13" i="2"/>
  <c r="M13" i="2"/>
  <c r="N13" i="2" s="1"/>
  <c r="P12" i="2"/>
  <c r="O12" i="2"/>
  <c r="M12" i="2"/>
  <c r="U12" i="2" s="1"/>
  <c r="P11" i="2"/>
  <c r="O11" i="2"/>
  <c r="M11" i="2"/>
  <c r="N11" i="2" s="1"/>
  <c r="N71" i="2" l="1"/>
  <c r="N60" i="2"/>
  <c r="N49" i="2"/>
  <c r="N38" i="2"/>
  <c r="N27" i="2"/>
  <c r="N16" i="2"/>
  <c r="Q38" i="2"/>
  <c r="R38" i="2" s="1"/>
  <c r="Q49" i="2"/>
  <c r="R49" i="2" s="1"/>
  <c r="Q60" i="2"/>
  <c r="R60" i="2" s="1"/>
  <c r="Q71" i="2"/>
  <c r="R71" i="2" s="1"/>
  <c r="Q152" i="2"/>
  <c r="R152" i="2" s="1"/>
  <c r="Q173" i="2"/>
  <c r="R173" i="2" s="1"/>
  <c r="N192" i="2"/>
  <c r="N193" i="2"/>
  <c r="N194" i="2"/>
  <c r="N195" i="2"/>
  <c r="R198" i="2"/>
  <c r="N191" i="2"/>
  <c r="Q165" i="2"/>
  <c r="R165" i="2" s="1"/>
  <c r="Q169" i="2"/>
  <c r="R169" i="2" s="1"/>
  <c r="N205" i="2"/>
  <c r="N206" i="2"/>
  <c r="N203" i="2"/>
  <c r="N204" i="2"/>
  <c r="R208" i="2"/>
  <c r="N202" i="2"/>
  <c r="Q132" i="2"/>
  <c r="R132" i="2" s="1"/>
  <c r="Q147" i="2"/>
  <c r="R147" i="2" s="1"/>
  <c r="Q149" i="2"/>
  <c r="R149" i="2" s="1"/>
  <c r="Q155" i="2"/>
  <c r="R155" i="2" s="1"/>
  <c r="Q164" i="2"/>
  <c r="R164" i="2" s="1"/>
  <c r="N183" i="2"/>
  <c r="N184" i="2"/>
  <c r="N167" i="2"/>
  <c r="Q168" i="2"/>
  <c r="R168" i="2" s="1"/>
  <c r="N148" i="2"/>
  <c r="N151" i="2"/>
  <c r="Q154" i="2"/>
  <c r="R154" i="2" s="1"/>
  <c r="N156" i="2"/>
  <c r="N171" i="2"/>
  <c r="Q172" i="2"/>
  <c r="R172" i="2" s="1"/>
  <c r="N181" i="2"/>
  <c r="N182" i="2"/>
  <c r="R187" i="2"/>
  <c r="U147" i="2"/>
  <c r="U155" i="2"/>
  <c r="Q118" i="2"/>
  <c r="R118" i="2" s="1"/>
  <c r="Q120" i="2"/>
  <c r="R120" i="2" s="1"/>
  <c r="Q122" i="2"/>
  <c r="R122" i="2" s="1"/>
  <c r="Q131" i="2"/>
  <c r="R131" i="2" s="1"/>
  <c r="N133" i="2"/>
  <c r="Q134" i="2"/>
  <c r="R134" i="2" s="1"/>
  <c r="N136" i="2"/>
  <c r="Q137" i="2"/>
  <c r="R137" i="2" s="1"/>
  <c r="N139" i="2"/>
  <c r="Q148" i="2"/>
  <c r="R148" i="2" s="1"/>
  <c r="Q150" i="2"/>
  <c r="R150" i="2" s="1"/>
  <c r="Q151" i="2"/>
  <c r="R151" i="2" s="1"/>
  <c r="N152" i="2"/>
  <c r="Q153" i="2"/>
  <c r="R153" i="2" s="1"/>
  <c r="Q156" i="2"/>
  <c r="R156" i="2" s="1"/>
  <c r="N165" i="2"/>
  <c r="Q166" i="2"/>
  <c r="R166" i="2" s="1"/>
  <c r="Q167" i="2"/>
  <c r="R167" i="2" s="1"/>
  <c r="N169" i="2"/>
  <c r="Q170" i="2"/>
  <c r="R170" i="2" s="1"/>
  <c r="Q171" i="2"/>
  <c r="R171" i="2" s="1"/>
  <c r="N173" i="2"/>
  <c r="N180" i="2"/>
  <c r="U132" i="2"/>
  <c r="U150" i="2"/>
  <c r="U154" i="2"/>
  <c r="U164" i="2"/>
  <c r="U166" i="2"/>
  <c r="U168" i="2"/>
  <c r="U170" i="2"/>
  <c r="U172" i="2"/>
  <c r="Q104" i="2"/>
  <c r="R104" i="2" s="1"/>
  <c r="Q130" i="2"/>
  <c r="R130" i="2" s="1"/>
  <c r="Q133" i="2"/>
  <c r="R133" i="2" s="1"/>
  <c r="Q135" i="2"/>
  <c r="R135" i="2" s="1"/>
  <c r="Q136" i="2"/>
  <c r="R136" i="2" s="1"/>
  <c r="N137" i="2"/>
  <c r="Q138" i="2"/>
  <c r="R138" i="2" s="1"/>
  <c r="Q139" i="2"/>
  <c r="R139" i="2" s="1"/>
  <c r="N149" i="2"/>
  <c r="N153" i="2"/>
  <c r="U131" i="2"/>
  <c r="U135" i="2"/>
  <c r="U138" i="2"/>
  <c r="Q101" i="2"/>
  <c r="R101" i="2" s="1"/>
  <c r="Q114" i="2"/>
  <c r="R114" i="2" s="1"/>
  <c r="N116" i="2"/>
  <c r="Q117" i="2"/>
  <c r="R117" i="2" s="1"/>
  <c r="Q119" i="2"/>
  <c r="R119" i="2" s="1"/>
  <c r="Q121" i="2"/>
  <c r="R121" i="2" s="1"/>
  <c r="N130" i="2"/>
  <c r="N134" i="2"/>
  <c r="U119" i="2"/>
  <c r="N120" i="2"/>
  <c r="U121" i="2"/>
  <c r="N122" i="2"/>
  <c r="N103" i="2"/>
  <c r="Q113" i="2"/>
  <c r="R113" i="2" s="1"/>
  <c r="Q115" i="2"/>
  <c r="R115" i="2" s="1"/>
  <c r="Q116" i="2"/>
  <c r="R116" i="2" s="1"/>
  <c r="N118" i="2"/>
  <c r="U115" i="2"/>
  <c r="U117" i="2"/>
  <c r="Q105" i="2"/>
  <c r="R105" i="2" s="1"/>
  <c r="N114" i="2"/>
  <c r="U113" i="2"/>
  <c r="Q97" i="2"/>
  <c r="R97" i="2" s="1"/>
  <c r="N99" i="2"/>
  <c r="Q100" i="2"/>
  <c r="R100" i="2" s="1"/>
  <c r="Q102" i="2"/>
  <c r="R102" i="2" s="1"/>
  <c r="Q103" i="2"/>
  <c r="R103" i="2" s="1"/>
  <c r="N105" i="2"/>
  <c r="U102" i="2"/>
  <c r="U104" i="2"/>
  <c r="Q84" i="2"/>
  <c r="R84" i="2" s="1"/>
  <c r="N86" i="2"/>
  <c r="Q87" i="2"/>
  <c r="R87" i="2" s="1"/>
  <c r="Q96" i="2"/>
  <c r="R96" i="2" s="1"/>
  <c r="Q98" i="2"/>
  <c r="R98" i="2" s="1"/>
  <c r="Q99" i="2"/>
  <c r="R99" i="2" s="1"/>
  <c r="N101" i="2"/>
  <c r="U98" i="2"/>
  <c r="U100" i="2"/>
  <c r="Q88" i="2"/>
  <c r="R88" i="2" s="1"/>
  <c r="N97" i="2"/>
  <c r="U96" i="2"/>
  <c r="Q80" i="2"/>
  <c r="R80" i="2" s="1"/>
  <c r="N82" i="2"/>
  <c r="Q83" i="2"/>
  <c r="R83" i="2" s="1"/>
  <c r="Q85" i="2"/>
  <c r="R85" i="2" s="1"/>
  <c r="Q86" i="2"/>
  <c r="R86" i="2" s="1"/>
  <c r="N88" i="2"/>
  <c r="U85" i="2"/>
  <c r="U87" i="2"/>
  <c r="Q79" i="2"/>
  <c r="R79" i="2" s="1"/>
  <c r="Q81" i="2"/>
  <c r="R81" i="2" s="1"/>
  <c r="Q82" i="2"/>
  <c r="R82" i="2" s="1"/>
  <c r="N84" i="2"/>
  <c r="U81" i="2"/>
  <c r="U83" i="2"/>
  <c r="Q34" i="2"/>
  <c r="R34" i="2" s="1"/>
  <c r="N36" i="2"/>
  <c r="Q37" i="2"/>
  <c r="R37" i="2" s="1"/>
  <c r="N44" i="2"/>
  <c r="Q45" i="2"/>
  <c r="R45" i="2" s="1"/>
  <c r="Q59" i="2"/>
  <c r="R59" i="2" s="1"/>
  <c r="Q66" i="2"/>
  <c r="R66" i="2" s="1"/>
  <c r="Q69" i="2"/>
  <c r="R69" i="2" s="1"/>
  <c r="N80" i="2"/>
  <c r="U79" i="2"/>
  <c r="Q14" i="2"/>
  <c r="R14" i="2" s="1"/>
  <c r="Q58" i="2"/>
  <c r="R58" i="2" s="1"/>
  <c r="N70" i="2"/>
  <c r="N69" i="2"/>
  <c r="N12" i="2"/>
  <c r="Q13" i="2"/>
  <c r="R13" i="2" s="1"/>
  <c r="Q22" i="2"/>
  <c r="R22" i="2" s="1"/>
  <c r="N24" i="2"/>
  <c r="Q25" i="2"/>
  <c r="R25" i="2" s="1"/>
  <c r="Q33" i="2"/>
  <c r="R33" i="2" s="1"/>
  <c r="Q46" i="2"/>
  <c r="R46" i="2" s="1"/>
  <c r="N48" i="2"/>
  <c r="N56" i="2"/>
  <c r="Q57" i="2"/>
  <c r="R57" i="2" s="1"/>
  <c r="Q67" i="2"/>
  <c r="R67" i="2" s="1"/>
  <c r="N77" i="2"/>
  <c r="Q78" i="2"/>
  <c r="R78" i="2" s="1"/>
  <c r="N95" i="2"/>
  <c r="N111" i="2"/>
  <c r="Q112" i="2"/>
  <c r="R112" i="2" s="1"/>
  <c r="N129" i="2"/>
  <c r="N145" i="2"/>
  <c r="Q146" i="2"/>
  <c r="R146" i="2" s="1"/>
  <c r="N163" i="2"/>
  <c r="N179" i="2"/>
  <c r="N58" i="2"/>
  <c r="Q68" i="2"/>
  <c r="R68" i="2" s="1"/>
  <c r="Q70" i="2"/>
  <c r="R70" i="2" s="1"/>
  <c r="U201" i="2"/>
  <c r="U68" i="2"/>
  <c r="Q11" i="2"/>
  <c r="R11" i="2" s="1"/>
  <c r="Q12" i="2"/>
  <c r="R12" i="2" s="1"/>
  <c r="N14" i="2"/>
  <c r="Q15" i="2"/>
  <c r="R15" i="2" s="1"/>
  <c r="N22" i="2"/>
  <c r="Q23" i="2"/>
  <c r="R23" i="2" s="1"/>
  <c r="Q24" i="2"/>
  <c r="R24" i="2" s="1"/>
  <c r="Q26" i="2"/>
  <c r="R26" i="2" s="1"/>
  <c r="N34" i="2"/>
  <c r="Q35" i="2"/>
  <c r="R35" i="2" s="1"/>
  <c r="Q36" i="2"/>
  <c r="R36" i="2" s="1"/>
  <c r="Q44" i="2"/>
  <c r="R44" i="2" s="1"/>
  <c r="N46" i="2"/>
  <c r="Q47" i="2"/>
  <c r="R47" i="2" s="1"/>
  <c r="Q48" i="2"/>
  <c r="R48" i="2" s="1"/>
  <c r="Q55" i="2"/>
  <c r="R55" i="2" s="1"/>
  <c r="Q56" i="2"/>
  <c r="R56" i="2" s="1"/>
  <c r="N59" i="2"/>
  <c r="N67" i="2"/>
  <c r="Q77" i="2"/>
  <c r="R77" i="2" s="1"/>
  <c r="Q94" i="2"/>
  <c r="R94" i="2" s="1"/>
  <c r="Q95" i="2"/>
  <c r="R95" i="2" s="1"/>
  <c r="Q111" i="2"/>
  <c r="R111" i="2" s="1"/>
  <c r="Q128" i="2"/>
  <c r="R128" i="2" s="1"/>
  <c r="Q129" i="2"/>
  <c r="R129" i="2" s="1"/>
  <c r="Q145" i="2"/>
  <c r="R145" i="2" s="1"/>
  <c r="Q162" i="2"/>
  <c r="R162" i="2" s="1"/>
  <c r="Q163" i="2"/>
  <c r="R163" i="2" s="1"/>
  <c r="U11" i="2"/>
  <c r="U13" i="2"/>
  <c r="U15" i="2"/>
  <c r="U23" i="2"/>
  <c r="N25" i="2"/>
  <c r="U26" i="2"/>
  <c r="U33" i="2"/>
  <c r="U35" i="2"/>
  <c r="N37" i="2"/>
  <c r="N45" i="2"/>
  <c r="N47" i="2"/>
  <c r="N55" i="2"/>
  <c r="N57" i="2"/>
  <c r="N66" i="2"/>
  <c r="U78" i="2"/>
  <c r="U94" i="2"/>
  <c r="U112" i="2"/>
  <c r="U128" i="2"/>
  <c r="U146" i="2"/>
  <c r="U162" i="2"/>
  <c r="N190" i="2"/>
  <c r="N211" i="2"/>
  <c r="N212" i="2"/>
  <c r="N213" i="2"/>
  <c r="N214" i="2"/>
  <c r="N215" i="2"/>
  <c r="N198" i="2" l="1"/>
  <c r="U198" i="2"/>
  <c r="N208" i="2"/>
  <c r="U208" i="2" s="1"/>
  <c r="N187" i="2"/>
  <c r="U187" i="2" s="1"/>
  <c r="N142" i="2"/>
  <c r="U142" i="2" s="1"/>
  <c r="N176" i="2"/>
  <c r="U176" i="2" s="1"/>
  <c r="N159" i="2"/>
  <c r="U159" i="2" s="1"/>
  <c r="N41" i="2"/>
  <c r="U41" i="2" s="1"/>
  <c r="N125" i="2"/>
  <c r="U125" i="2" s="1"/>
  <c r="N91" i="2"/>
  <c r="U91" i="2" s="1"/>
  <c r="N30" i="2"/>
  <c r="R91" i="2"/>
  <c r="N108" i="2"/>
  <c r="U108" i="2" s="1"/>
  <c r="R125" i="2"/>
  <c r="R74" i="2"/>
  <c r="R30" i="2"/>
  <c r="R159" i="2"/>
  <c r="R142" i="2"/>
  <c r="R63" i="2"/>
  <c r="R52" i="2"/>
  <c r="R41" i="2"/>
  <c r="N74" i="2"/>
  <c r="U74" i="2" s="1"/>
  <c r="N63" i="2"/>
  <c r="U63" i="2" s="1"/>
  <c r="N52" i="2"/>
  <c r="U52" i="2" s="1"/>
  <c r="N19" i="2"/>
  <c r="U19" i="2" s="1"/>
  <c r="R19" i="2"/>
  <c r="R176" i="2"/>
  <c r="R108" i="2"/>
  <c r="U30" i="2"/>
  <c r="N218" i="2"/>
  <c r="U218" i="2" s="1"/>
  <c r="R221" i="2" l="1"/>
  <c r="U2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Ng</author>
  </authors>
  <commentList>
    <comment ref="B214" authorId="0" shapeId="0" xr:uid="{C4F6A571-8E27-4F72-A262-A48CDFF32FD1}">
      <text>
        <r>
          <rPr>
            <sz val="9"/>
            <color indexed="81"/>
            <rFont val="Tahoma"/>
            <family val="2"/>
          </rPr>
          <t xml:space="preserve">If selecting the bundle option, remove the individual options above.
</t>
        </r>
      </text>
    </comment>
    <comment ref="B227" authorId="0" shapeId="0" xr:uid="{D89F3B3E-23E4-492A-8E98-FCB909EB9C60}">
      <text>
        <r>
          <rPr>
            <sz val="9"/>
            <color indexed="81"/>
            <rFont val="Tahoma"/>
            <family val="2"/>
          </rPr>
          <t xml:space="preserve">Formerly known as Health Service Navigator (HSN)
</t>
        </r>
      </text>
    </comment>
  </commentList>
</comments>
</file>

<file path=xl/sharedStrings.xml><?xml version="1.0" encoding="utf-8"?>
<sst xmlns="http://schemas.openxmlformats.org/spreadsheetml/2006/main" count="634" uniqueCount="73">
  <si>
    <t>Client Name</t>
  </si>
  <si>
    <t>Summary of Proposed Monthly Rates</t>
  </si>
  <si>
    <r>
      <t>Effective</t>
    </r>
    <r>
      <rPr>
        <b/>
        <sz val="11"/>
        <color indexed="12"/>
        <rFont val="Arial"/>
        <family val="2"/>
      </rPr>
      <t xml:space="preserve"> dd-mmm-yyyy</t>
    </r>
  </si>
  <si>
    <t>Current</t>
  </si>
  <si>
    <t>Proposed</t>
  </si>
  <si>
    <t>Benefit</t>
  </si>
  <si>
    <t>Contract</t>
  </si>
  <si>
    <t>Division</t>
  </si>
  <si>
    <t xml:space="preserve">Class </t>
  </si>
  <si>
    <t>Plan</t>
  </si>
  <si>
    <t>Basis</t>
  </si>
  <si>
    <t>Lives</t>
  </si>
  <si>
    <t>Volumes/
Salary</t>
  </si>
  <si>
    <t>Experience Rate</t>
  </si>
  <si>
    <t>Deficit Recovery Rate</t>
  </si>
  <si>
    <t>Total Rate</t>
  </si>
  <si>
    <t>Total Premium ($)</t>
  </si>
  <si>
    <t>Exp Rate Change</t>
  </si>
  <si>
    <t>DR Percentage</t>
  </si>
  <si>
    <t>Total Rate Change</t>
  </si>
  <si>
    <t>Basic Life</t>
  </si>
  <si>
    <t>LIFE</t>
  </si>
  <si>
    <t>0</t>
  </si>
  <si>
    <t>Per</t>
  </si>
  <si>
    <t>Dependent Life</t>
  </si>
  <si>
    <t>DEPL</t>
  </si>
  <si>
    <t>Member</t>
  </si>
  <si>
    <t>Optional Life</t>
  </si>
  <si>
    <t>OPTL</t>
  </si>
  <si>
    <t>Accidental Death &amp; Dismemberment</t>
  </si>
  <si>
    <t>AD&amp;D</t>
  </si>
  <si>
    <t>Long Term Disability</t>
  </si>
  <si>
    <t xml:space="preserve">LTD </t>
  </si>
  <si>
    <t>Short Term Absence</t>
  </si>
  <si>
    <t>STA</t>
  </si>
  <si>
    <t>Extended Health Care</t>
  </si>
  <si>
    <t xml:space="preserve">EHC </t>
  </si>
  <si>
    <t>Single</t>
  </si>
  <si>
    <t>Family</t>
  </si>
  <si>
    <t>Hospital</t>
  </si>
  <si>
    <t>Drugs</t>
  </si>
  <si>
    <t>Vision</t>
  </si>
  <si>
    <t>Pool Charges</t>
  </si>
  <si>
    <t>Dental Care</t>
  </si>
  <si>
    <t>DENT</t>
  </si>
  <si>
    <t>Critical Illness</t>
  </si>
  <si>
    <t>Employee &amp; Family Assistance</t>
  </si>
  <si>
    <t>HealthCare Online</t>
  </si>
  <si>
    <t>Women's &amp; Family Health</t>
  </si>
  <si>
    <t>Fertility &amp; Family Building</t>
  </si>
  <si>
    <t>Maternity &amp; Newborn Care</t>
  </si>
  <si>
    <t>Parenting &amp; Pediatrics</t>
  </si>
  <si>
    <t>Fertility &amp; Family Building, Maternity &amp; Newborn Care, Parenting &amp; Pediatrics Bundle</t>
  </si>
  <si>
    <t>Menopause &amp; Mental Health</t>
  </si>
  <si>
    <t xml:space="preserve"> GRAND TOTAL</t>
  </si>
  <si>
    <t>Medical Second Opinion (MSO)</t>
  </si>
  <si>
    <t>per Member rate of XXXX$ is included in Extended Health Care rates</t>
  </si>
  <si>
    <t>Rate Change:</t>
  </si>
  <si>
    <r>
      <t>MALE - RATE/</t>
    </r>
    <r>
      <rPr>
        <b/>
        <sz val="8"/>
        <color indexed="12"/>
        <rFont val="Arial"/>
        <family val="2"/>
      </rPr>
      <t>$1,000</t>
    </r>
  </si>
  <si>
    <r>
      <t>FEMALE - RATE/</t>
    </r>
    <r>
      <rPr>
        <b/>
        <sz val="8"/>
        <color indexed="12"/>
        <rFont val="Arial"/>
        <family val="2"/>
      </rPr>
      <t>$1,000</t>
    </r>
  </si>
  <si>
    <t>AGE</t>
  </si>
  <si>
    <t>Smoker</t>
  </si>
  <si>
    <t>Non-Smoker</t>
  </si>
  <si>
    <t>Under 25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</si>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</sst>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#,##0.000"/>
    <numFmt numFmtId="166" formatCode="&quot;$&quot;#,##0"/>
    <numFmt numFmtId="167" formatCode="0.000"/>
  </numFmts>
  <fonts count="21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6"/>
      <color indexed="12"/>
      <name val="Arial"/>
      <family val="2"/>
    </font>
    <font>
      <b/>
      <sz val="11"/>
      <color indexed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000000"/>
      <name val="Aptos Narrow"/>
      <family val="2"/>
      <scheme val="minor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name val="Tahoma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sz val="10"/>
      <name val="Arial"/>
    </font>
    <font>
      <b/>
      <sz val="16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46138"/>
      </patternFill>
    </fill>
    <fill>
      <patternFill patternType="solid">
        <fgColor theme="0" tint="-0.14999847407452621"/>
        <bgColor rgb="FF00A758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13" fillId="0" borderId="0"/>
    <xf numFmtId="0" fontId="16" fillId="0" borderId="0"/>
    <xf numFmtId="9" fontId="2" fillId="0" borderId="0" applyFont="0" applyFill="0" applyBorder="0" applyAlignment="0" applyProtection="0"/>
  </cellStyleXfs>
  <cellXfs count="126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centerContinuous"/>
    </xf>
    <xf numFmtId="0" fontId="4" fillId="0" borderId="0" xfId="0" applyFont="1" applyAlignment="1">
      <alignment horizontal="center"/>
    </xf>
    <xf numFmtId="3" fontId="4" fillId="0" borderId="0" xfId="0" applyNumberFormat="1" applyFont="1" applyAlignment="1">
      <alignment horizontal="centerContinuous"/>
    </xf>
    <xf numFmtId="2" fontId="4" fillId="0" borderId="0" xfId="0" applyNumberFormat="1" applyFont="1" applyAlignment="1">
      <alignment horizontal="center"/>
    </xf>
    <xf numFmtId="4" fontId="4" fillId="0" borderId="0" xfId="1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 applyProtection="1">
      <alignment horizontal="center" wrapText="1"/>
      <protection locked="0"/>
    </xf>
    <xf numFmtId="0" fontId="2" fillId="0" borderId="0" xfId="0" applyFont="1"/>
    <xf numFmtId="0" fontId="6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8" fillId="0" borderId="0" xfId="0" applyFont="1"/>
    <xf numFmtId="0" fontId="3" fillId="0" borderId="0" xfId="0" applyFont="1"/>
    <xf numFmtId="0" fontId="4" fillId="0" borderId="0" xfId="0" applyFont="1"/>
    <xf numFmtId="3" fontId="4" fillId="0" borderId="0" xfId="0" applyNumberFormat="1" applyFont="1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2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2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8" fillId="3" borderId="4" xfId="2" applyFont="1" applyFill="1" applyBorder="1" applyAlignment="1">
      <alignment horizontal="center" vertical="top" wrapText="1" readingOrder="1"/>
    </xf>
    <xf numFmtId="3" fontId="4" fillId="0" borderId="0" xfId="0" applyNumberFormat="1" applyFont="1" applyAlignment="1">
      <alignment horizontal="right"/>
    </xf>
    <xf numFmtId="0" fontId="8" fillId="0" borderId="0" xfId="0" applyFont="1" applyProtection="1"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0" fontId="11" fillId="0" borderId="0" xfId="0" quotePrefix="1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66" fontId="11" fillId="0" borderId="0" xfId="0" applyNumberFormat="1" applyFont="1" applyAlignment="1" applyProtection="1">
      <alignment horizontal="center"/>
      <protection locked="0"/>
    </xf>
    <xf numFmtId="3" fontId="11" fillId="0" borderId="0" xfId="0" applyNumberFormat="1" applyFont="1" applyAlignment="1" applyProtection="1">
      <alignment horizontal="center"/>
      <protection locked="0"/>
    </xf>
    <xf numFmtId="165" fontId="11" fillId="0" borderId="0" xfId="0" quotePrefix="1" applyNumberFormat="1" applyFont="1" applyAlignment="1" applyProtection="1">
      <alignment horizontal="center"/>
      <protection locked="0"/>
    </xf>
    <xf numFmtId="165" fontId="4" fillId="0" borderId="0" xfId="0" quotePrefix="1" applyNumberFormat="1" applyFont="1" applyAlignment="1">
      <alignment horizontal="center"/>
    </xf>
    <xf numFmtId="4" fontId="4" fillId="0" borderId="0" xfId="1" quotePrefix="1" applyNumberFormat="1" applyFont="1" applyBorder="1" applyAlignment="1">
      <alignment horizontal="center"/>
    </xf>
    <xf numFmtId="165" fontId="3" fillId="0" borderId="0" xfId="0" quotePrefix="1" applyNumberFormat="1" applyFont="1" applyAlignment="1">
      <alignment horizontal="center"/>
    </xf>
    <xf numFmtId="164" fontId="12" fillId="0" borderId="0" xfId="0" quotePrefix="1" applyNumberFormat="1" applyFont="1" applyAlignment="1" applyProtection="1">
      <alignment horizontal="center"/>
      <protection locked="0"/>
    </xf>
    <xf numFmtId="164" fontId="3" fillId="0" borderId="0" xfId="0" quotePrefix="1" applyNumberFormat="1" applyFont="1" applyAlignment="1">
      <alignment horizontal="center"/>
    </xf>
    <xf numFmtId="4" fontId="4" fillId="0" borderId="0" xfId="1" quotePrefix="1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Alignment="1">
      <alignment horizontal="center"/>
    </xf>
    <xf numFmtId="0" fontId="11" fillId="0" borderId="0" xfId="0" quotePrefix="1" applyFont="1" applyAlignment="1">
      <alignment horizontal="center"/>
    </xf>
    <xf numFmtId="166" fontId="11" fillId="0" borderId="0" xfId="0" applyNumberFormat="1" applyFont="1" applyAlignment="1">
      <alignment horizontal="center"/>
    </xf>
    <xf numFmtId="3" fontId="11" fillId="0" borderId="0" xfId="0" applyNumberFormat="1" applyFont="1" applyAlignment="1">
      <alignment horizontal="center"/>
    </xf>
    <xf numFmtId="165" fontId="11" fillId="0" borderId="0" xfId="0" quotePrefix="1" applyNumberFormat="1" applyFont="1" applyAlignment="1">
      <alignment horizontal="center"/>
    </xf>
    <xf numFmtId="164" fontId="12" fillId="0" borderId="0" xfId="0" quotePrefix="1" applyNumberFormat="1" applyFont="1" applyAlignment="1">
      <alignment horizontal="center"/>
    </xf>
    <xf numFmtId="0" fontId="4" fillId="0" borderId="0" xfId="0" quotePrefix="1" applyFont="1"/>
    <xf numFmtId="4" fontId="4" fillId="0" borderId="5" xfId="1" quotePrefix="1" applyNumberFormat="1" applyFont="1" applyBorder="1" applyAlignment="1">
      <alignment horizontal="center"/>
    </xf>
    <xf numFmtId="164" fontId="4" fillId="0" borderId="0" xfId="0" quotePrefix="1" applyNumberFormat="1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3" fontId="4" fillId="0" borderId="0" xfId="1" quotePrefix="1" applyNumberFormat="1" applyFont="1" applyBorder="1" applyAlignment="1" applyProtection="1">
      <alignment horizontal="center"/>
      <protection locked="0"/>
    </xf>
    <xf numFmtId="3" fontId="4" fillId="0" borderId="0" xfId="1" quotePrefix="1" applyNumberFormat="1" applyFont="1" applyBorder="1" applyAlignment="1">
      <alignment horizontal="center"/>
    </xf>
    <xf numFmtId="2" fontId="3" fillId="0" borderId="0" xfId="0" quotePrefix="1" applyNumberFormat="1" applyFont="1" applyAlignment="1">
      <alignment horizontal="center"/>
    </xf>
    <xf numFmtId="3" fontId="3" fillId="0" borderId="0" xfId="0" quotePrefix="1" applyNumberFormat="1" applyFont="1" applyAlignment="1">
      <alignment horizontal="right"/>
    </xf>
    <xf numFmtId="4" fontId="3" fillId="0" borderId="0" xfId="1" quotePrefix="1" applyNumberFormat="1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3" fontId="11" fillId="0" borderId="0" xfId="0" quotePrefix="1" applyNumberFormat="1" applyFont="1" applyAlignment="1" applyProtection="1">
      <alignment horizontal="center"/>
      <protection locked="0"/>
    </xf>
    <xf numFmtId="3" fontId="11" fillId="0" borderId="0" xfId="0" quotePrefix="1" applyNumberFormat="1" applyFont="1" applyAlignment="1">
      <alignment horizontal="center"/>
    </xf>
    <xf numFmtId="2" fontId="11" fillId="0" borderId="0" xfId="0" quotePrefix="1" applyNumberFormat="1" applyFont="1" applyAlignment="1">
      <alignment horizontal="center"/>
    </xf>
    <xf numFmtId="4" fontId="4" fillId="0" borderId="0" xfId="0" quotePrefix="1" applyNumberFormat="1" applyFont="1" applyAlignment="1">
      <alignment horizontal="center"/>
    </xf>
    <xf numFmtId="3" fontId="4" fillId="0" borderId="0" xfId="1" quotePrefix="1" applyNumberFormat="1" applyFont="1" applyBorder="1" applyAlignment="1" applyProtection="1">
      <alignment horizontal="center"/>
    </xf>
    <xf numFmtId="0" fontId="11" fillId="0" borderId="0" xfId="0" applyFont="1"/>
    <xf numFmtId="4" fontId="4" fillId="0" borderId="0" xfId="1" quotePrefix="1" applyNumberFormat="1" applyFont="1" applyAlignment="1">
      <alignment horizontal="center"/>
    </xf>
    <xf numFmtId="3" fontId="11" fillId="0" borderId="0" xfId="3" quotePrefix="1" applyNumberFormat="1" applyFont="1" applyAlignment="1" applyProtection="1">
      <alignment horizontal="center"/>
      <protection locked="0"/>
    </xf>
    <xf numFmtId="165" fontId="11" fillId="0" borderId="0" xfId="3" quotePrefix="1" applyNumberFormat="1" applyFont="1" applyAlignment="1" applyProtection="1">
      <alignment horizontal="center"/>
      <protection locked="0"/>
    </xf>
    <xf numFmtId="4" fontId="4" fillId="0" borderId="0" xfId="1" quotePrefix="1" applyNumberFormat="1" applyFont="1" applyAlignment="1" applyProtection="1">
      <alignment horizontal="center"/>
      <protection locked="0"/>
    </xf>
    <xf numFmtId="166" fontId="4" fillId="0" borderId="0" xfId="0" applyNumberFormat="1" applyFont="1" applyAlignment="1">
      <alignment horizontal="center"/>
    </xf>
    <xf numFmtId="3" fontId="11" fillId="0" borderId="0" xfId="3" quotePrefix="1" applyNumberFormat="1" applyFont="1" applyAlignment="1">
      <alignment horizontal="center"/>
    </xf>
    <xf numFmtId="165" fontId="11" fillId="0" borderId="0" xfId="3" quotePrefix="1" applyNumberFormat="1" applyFont="1" applyAlignment="1">
      <alignment horizontal="center"/>
    </xf>
    <xf numFmtId="167" fontId="11" fillId="0" borderId="0" xfId="0" quotePrefix="1" applyNumberFormat="1" applyFont="1" applyAlignment="1" applyProtection="1">
      <alignment horizontal="center"/>
      <protection locked="0"/>
    </xf>
    <xf numFmtId="167" fontId="11" fillId="0" borderId="0" xfId="0" quotePrefix="1" applyNumberFormat="1" applyFont="1" applyAlignment="1">
      <alignment horizontal="center"/>
    </xf>
    <xf numFmtId="2" fontId="4" fillId="0" borderId="0" xfId="0" quotePrefix="1" applyNumberFormat="1" applyFont="1" applyAlignment="1">
      <alignment horizontal="center"/>
    </xf>
    <xf numFmtId="0" fontId="4" fillId="0" borderId="0" xfId="0" quotePrefix="1" applyFont="1" applyProtection="1">
      <protection locked="0"/>
    </xf>
    <xf numFmtId="2" fontId="11" fillId="0" borderId="0" xfId="0" applyNumberFormat="1" applyFont="1" applyAlignment="1" applyProtection="1">
      <alignment horizontal="center"/>
      <protection locked="0"/>
    </xf>
    <xf numFmtId="2" fontId="11" fillId="0" borderId="0" xfId="0" quotePrefix="1" applyNumberFormat="1" applyFont="1" applyAlignment="1" applyProtection="1">
      <alignment horizontal="center"/>
      <protection locked="0"/>
    </xf>
    <xf numFmtId="4" fontId="3" fillId="0" borderId="0" xfId="0" quotePrefix="1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center" wrapText="1"/>
      <protection locked="0"/>
    </xf>
    <xf numFmtId="0" fontId="8" fillId="4" borderId="6" xfId="2" applyFont="1" applyFill="1" applyBorder="1" applyAlignment="1">
      <alignment horizontal="center" vertical="center" wrapText="1" readingOrder="1"/>
    </xf>
    <xf numFmtId="4" fontId="8" fillId="4" borderId="6" xfId="2" applyNumberFormat="1" applyFont="1" applyFill="1" applyBorder="1" applyAlignment="1">
      <alignment horizontal="center" vertical="center" wrapText="1" readingOrder="1"/>
    </xf>
    <xf numFmtId="0" fontId="14" fillId="0" borderId="0" xfId="0" applyFont="1"/>
    <xf numFmtId="0" fontId="14" fillId="0" borderId="0" xfId="0" applyFont="1" applyAlignment="1">
      <alignment horizontal="center"/>
    </xf>
    <xf numFmtId="0" fontId="17" fillId="0" borderId="0" xfId="4" applyFont="1" applyAlignment="1">
      <alignment horizontal="center" wrapText="1"/>
    </xf>
    <xf numFmtId="2" fontId="18" fillId="0" borderId="0" xfId="4" applyNumberFormat="1" applyFont="1"/>
    <xf numFmtId="0" fontId="2" fillId="0" borderId="0" xfId="4" applyFont="1"/>
    <xf numFmtId="0" fontId="19" fillId="0" borderId="0" xfId="4" applyFont="1" applyAlignment="1">
      <alignment horizontal="center" wrapText="1"/>
    </xf>
    <xf numFmtId="2" fontId="20" fillId="0" borderId="0" xfId="4" applyNumberFormat="1" applyFont="1"/>
    <xf numFmtId="0" fontId="4" fillId="0" borderId="0" xfId="4" applyFont="1"/>
    <xf numFmtId="0" fontId="3" fillId="0" borderId="0" xfId="4" applyFont="1" applyAlignment="1">
      <alignment horizontal="right"/>
    </xf>
    <xf numFmtId="2" fontId="4" fillId="0" borderId="0" xfId="4" applyNumberFormat="1" applyFont="1"/>
    <xf numFmtId="0" fontId="19" fillId="0" borderId="0" xfId="4" applyFont="1" applyAlignment="1">
      <alignment horizontal="centerContinuous"/>
    </xf>
    <xf numFmtId="0" fontId="2" fillId="0" borderId="0" xfId="4" applyFont="1" applyAlignment="1">
      <alignment horizontal="centerContinuous"/>
    </xf>
    <xf numFmtId="10" fontId="19" fillId="0" borderId="0" xfId="5" applyNumberFormat="1" applyFont="1" applyBorder="1" applyAlignment="1" applyProtection="1">
      <alignment horizontal="center" vertical="center"/>
    </xf>
    <xf numFmtId="0" fontId="19" fillId="0" borderId="7" xfId="4" applyFont="1" applyBorder="1" applyAlignment="1">
      <alignment horizontal="centerContinuous"/>
    </xf>
    <xf numFmtId="0" fontId="2" fillId="0" borderId="8" xfId="4" applyFont="1" applyBorder="1" applyAlignment="1">
      <alignment horizontal="centerContinuous"/>
    </xf>
    <xf numFmtId="10" fontId="19" fillId="0" borderId="9" xfId="5" applyNumberFormat="1" applyFont="1" applyBorder="1" applyAlignment="1" applyProtection="1">
      <alignment horizontal="center" vertical="center"/>
    </xf>
    <xf numFmtId="2" fontId="2" fillId="0" borderId="0" xfId="4" applyNumberFormat="1" applyFont="1"/>
    <xf numFmtId="0" fontId="3" fillId="0" borderId="7" xfId="4" applyFont="1" applyBorder="1" applyAlignment="1">
      <alignment horizontal="centerContinuous"/>
    </xf>
    <xf numFmtId="0" fontId="4" fillId="0" borderId="8" xfId="4" applyFont="1" applyBorder="1" applyAlignment="1">
      <alignment horizontal="centerContinuous"/>
    </xf>
    <xf numFmtId="0" fontId="4" fillId="0" borderId="9" xfId="4" applyFont="1" applyBorder="1" applyAlignment="1">
      <alignment horizontal="centerContinuous"/>
    </xf>
    <xf numFmtId="0" fontId="4" fillId="0" borderId="10" xfId="4" applyFont="1" applyBorder="1"/>
    <xf numFmtId="0" fontId="12" fillId="0" borderId="7" xfId="4" applyFont="1" applyBorder="1" applyAlignment="1">
      <alignment horizontal="center"/>
    </xf>
    <xf numFmtId="0" fontId="12" fillId="0" borderId="8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3" fillId="0" borderId="11" xfId="4" applyFont="1" applyBorder="1"/>
    <xf numFmtId="0" fontId="3" fillId="0" borderId="12" xfId="4" applyFont="1" applyBorder="1" applyAlignment="1">
      <alignment horizontal="centerContinuous"/>
    </xf>
    <xf numFmtId="0" fontId="4" fillId="0" borderId="13" xfId="4" applyFont="1" applyBorder="1" applyAlignment="1">
      <alignment horizontal="centerContinuous"/>
    </xf>
    <xf numFmtId="0" fontId="4" fillId="0" borderId="3" xfId="4" applyFont="1" applyBorder="1" applyAlignment="1">
      <alignment horizontal="centerContinuous"/>
    </xf>
    <xf numFmtId="0" fontId="3" fillId="0" borderId="14" xfId="4" applyFont="1" applyBorder="1" applyAlignment="1">
      <alignment horizontal="center"/>
    </xf>
    <xf numFmtId="0" fontId="3" fillId="0" borderId="4" xfId="4" applyFont="1" applyBorder="1" applyAlignment="1">
      <alignment horizontal="center"/>
    </xf>
    <xf numFmtId="0" fontId="3" fillId="0" borderId="15" xfId="4" applyFont="1" applyBorder="1" applyAlignment="1">
      <alignment horizontal="center"/>
    </xf>
    <xf numFmtId="0" fontId="3" fillId="0" borderId="0" xfId="4" applyFont="1"/>
    <xf numFmtId="0" fontId="3" fillId="0" borderId="16" xfId="4" applyFont="1" applyBorder="1"/>
    <xf numFmtId="165" fontId="4" fillId="0" borderId="4" xfId="4" applyNumberFormat="1" applyFont="1" applyBorder="1" applyAlignment="1">
      <alignment horizontal="right"/>
    </xf>
    <xf numFmtId="165" fontId="4" fillId="0" borderId="15" xfId="4" applyNumberFormat="1" applyFont="1" applyBorder="1" applyAlignment="1">
      <alignment horizontal="right"/>
    </xf>
    <xf numFmtId="0" fontId="3" fillId="0" borderId="17" xfId="4" applyFont="1" applyBorder="1"/>
    <xf numFmtId="165" fontId="4" fillId="0" borderId="18" xfId="4" applyNumberFormat="1" applyFont="1" applyBorder="1" applyAlignment="1">
      <alignment horizontal="right"/>
    </xf>
    <xf numFmtId="165" fontId="4" fillId="0" borderId="19" xfId="4" applyNumberFormat="1" applyFont="1" applyBorder="1" applyAlignment="1">
      <alignment horizontal="right"/>
    </xf>
    <xf numFmtId="0" fontId="3" fillId="0" borderId="2" xfId="4" applyFont="1" applyBorder="1"/>
    <xf numFmtId="0" fontId="4" fillId="0" borderId="2" xfId="4" applyFont="1" applyBorder="1"/>
  </cellXfs>
  <cellStyles count="6">
    <cellStyle name="Comma" xfId="1" builtinId="3"/>
    <cellStyle name="Normal" xfId="0" builtinId="0"/>
    <cellStyle name="Normal 2" xfId="2" xr:uid="{8368C83B-AA53-434C-B00E-94074B621B75}"/>
    <cellStyle name="Normal 3" xfId="4" xr:uid="{BF509137-F75F-42D1-869B-A5EC31822179}"/>
    <cellStyle name="Normal_Feuil1" xfId="3" xr:uid="{3777AC5D-6452-499C-9A17-EB2399FD87B5}"/>
    <cellStyle name="Percent 2" xfId="5" xr:uid="{5F93FC30-6394-4212-9931-84AB854946F3}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762000</xdr:colOff>
      <xdr:row>2</xdr:row>
      <xdr:rowOff>100965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6C1DBB-8822-485B-86E1-3552ED728EC4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62000" cy="1009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0</xdr:row>
      <xdr:rowOff>276225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CE94F3-EBF4-41D5-9D13-B2EB1E6FA664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524000" cy="2762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fc.sharepoint.com/sites/UknoW2/Shared%20Documents/Common%20Documents/Rate%20Sheet%20Templates/Rate%20Sheet%20Template.xlsm" TargetMode="External"/><Relationship Id="rId1" Type="http://schemas.openxmlformats.org/officeDocument/2006/relationships/externalLinkPath" Target="https://mfc.sharepoint.com/sites/UknoW2/Shared%20Documents/Common%20Documents/Rate%20Sheet%20Templates/Rate%20Sheet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quired Inputs"/>
      <sheetName val="Rate Sheet Template"/>
      <sheetName val="Step Rate Template"/>
    </sheetNames>
    <sheetDataSet>
      <sheetData sheetId="0"/>
      <sheetData sheetId="1">
        <row r="3">
          <cell r="B3" t="str">
            <v>Client Name</v>
          </cell>
        </row>
        <row r="4">
          <cell r="B4" t="str">
            <v>Summary of Proposed Monthly Rates</v>
          </cell>
        </row>
        <row r="5">
          <cell r="B5" t="str">
            <v>Effective dd-mmm-yyyy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B1E8-9DF4-487F-8F2B-130D1314ACE2}">
  <sheetPr>
    <pageSetUpPr fitToPage="1"/>
  </sheetPr>
  <dimension ref="A1:U238"/>
  <sheetViews>
    <sheetView tabSelected="1" topLeftCell="B3" workbookViewId="0">
      <selection activeCell="F25" sqref="F25"/>
    </sheetView>
  </sheetViews>
  <sheetFormatPr defaultColWidth="11.42578125" defaultRowHeight="12.75" x14ac:dyDescent="0.2"/>
  <cols>
    <col min="1" max="1" width="22.85546875" style="1" hidden="1" customWidth="1"/>
    <col min="2" max="2" width="35.5703125" style="1" bestFit="1" customWidth="1"/>
    <col min="3" max="3" width="10.140625" style="1" customWidth="1"/>
    <col min="4" max="4" width="9.42578125" style="9" customWidth="1"/>
    <col min="5" max="6" width="7.5703125" style="9" customWidth="1"/>
    <col min="7" max="7" width="6.28515625" style="1" customWidth="1"/>
    <col min="8" max="8" width="9.28515625" style="9" customWidth="1"/>
    <col min="9" max="10" width="11.42578125" style="1"/>
    <col min="11" max="11" width="12.140625" style="9" customWidth="1"/>
    <col min="12" max="12" width="11.5703125" style="9" customWidth="1"/>
    <col min="13" max="13" width="8.85546875" style="9" customWidth="1"/>
    <col min="14" max="14" width="14.140625" style="9" customWidth="1"/>
    <col min="15" max="15" width="11" style="9" customWidth="1"/>
    <col min="16" max="16" width="10.85546875" style="9" customWidth="1"/>
    <col min="17" max="17" width="8.7109375" style="9" customWidth="1"/>
    <col min="18" max="18" width="15" style="9" customWidth="1"/>
    <col min="19" max="19" width="10.5703125" style="9" customWidth="1"/>
    <col min="20" max="20" width="11" style="9" customWidth="1"/>
    <col min="21" max="21" width="9.140625" style="9" customWidth="1"/>
    <col min="22" max="16384" width="11.42578125" style="1"/>
  </cols>
  <sheetData>
    <row r="1" spans="2:21" hidden="1" x14ac:dyDescent="0.2">
      <c r="B1" s="2"/>
      <c r="C1" s="3"/>
      <c r="D1" s="4"/>
      <c r="E1" s="4"/>
      <c r="F1" s="4"/>
      <c r="G1" s="3"/>
      <c r="H1" s="4"/>
      <c r="I1" s="5"/>
      <c r="J1" s="5"/>
      <c r="K1" s="6"/>
      <c r="L1" s="6"/>
      <c r="M1" s="6"/>
      <c r="N1" s="7"/>
      <c r="O1" s="6"/>
      <c r="P1" s="6"/>
      <c r="Q1" s="6"/>
      <c r="R1" s="7"/>
      <c r="S1" s="8"/>
    </row>
    <row r="2" spans="2:21" hidden="1" x14ac:dyDescent="0.2">
      <c r="B2" s="2"/>
      <c r="C2" s="3"/>
      <c r="D2" s="4"/>
      <c r="E2" s="4"/>
      <c r="F2" s="4"/>
      <c r="G2" s="3"/>
      <c r="H2" s="4"/>
      <c r="I2" s="5"/>
      <c r="J2" s="5"/>
      <c r="K2" s="6"/>
      <c r="L2" s="6"/>
      <c r="M2" s="6"/>
      <c r="N2" s="7"/>
      <c r="O2" s="6"/>
      <c r="P2" s="6"/>
      <c r="Q2" s="6"/>
      <c r="R2" s="7"/>
      <c r="S2" s="8"/>
    </row>
    <row r="3" spans="2:21" ht="24" customHeight="1" x14ac:dyDescent="0.3">
      <c r="B3" s="10" t="s">
        <v>0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2:21" ht="15" x14ac:dyDescent="0.25">
      <c r="B4" s="12" t="s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2:21" ht="15" x14ac:dyDescent="0.25">
      <c r="B5" s="13" t="s">
        <v>2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2:21" ht="13.5" thickBot="1" x14ac:dyDescent="0.25">
      <c r="B6" s="14"/>
      <c r="C6" s="15"/>
      <c r="D6" s="4"/>
      <c r="E6" s="4"/>
      <c r="F6" s="4"/>
      <c r="G6" s="16"/>
      <c r="H6" s="4"/>
      <c r="I6" s="17"/>
      <c r="J6" s="17"/>
      <c r="K6" s="6"/>
      <c r="L6" s="6"/>
      <c r="M6" s="6"/>
      <c r="N6" s="7"/>
      <c r="O6" s="6"/>
      <c r="P6" s="6"/>
      <c r="Q6" s="6"/>
      <c r="R6" s="18"/>
      <c r="S6" s="19"/>
    </row>
    <row r="7" spans="2:21" ht="23.25" customHeight="1" x14ac:dyDescent="0.2">
      <c r="B7" s="16"/>
      <c r="C7" s="16"/>
      <c r="D7" s="4"/>
      <c r="E7" s="4"/>
      <c r="F7" s="4"/>
      <c r="G7" s="16"/>
      <c r="H7" s="4"/>
      <c r="I7" s="20"/>
      <c r="J7" s="20"/>
      <c r="K7" s="21" t="s">
        <v>3</v>
      </c>
      <c r="L7" s="22"/>
      <c r="M7" s="22"/>
      <c r="N7" s="23"/>
      <c r="O7" s="24" t="s">
        <v>4</v>
      </c>
      <c r="P7" s="25"/>
      <c r="Q7" s="25"/>
      <c r="R7" s="26"/>
      <c r="S7" s="19"/>
    </row>
    <row r="8" spans="2:21" ht="38.25" x14ac:dyDescent="0.2">
      <c r="B8" s="27" t="s">
        <v>5</v>
      </c>
      <c r="C8" s="27" t="s">
        <v>6</v>
      </c>
      <c r="D8" s="27" t="s">
        <v>7</v>
      </c>
      <c r="E8" s="27" t="s">
        <v>8</v>
      </c>
      <c r="F8" s="27" t="s">
        <v>9</v>
      </c>
      <c r="G8" s="27" t="s">
        <v>10</v>
      </c>
      <c r="H8" s="27"/>
      <c r="I8" s="27" t="s">
        <v>11</v>
      </c>
      <c r="J8" s="27" t="s">
        <v>12</v>
      </c>
      <c r="K8" s="27" t="s">
        <v>13</v>
      </c>
      <c r="L8" s="27" t="s">
        <v>14</v>
      </c>
      <c r="M8" s="27" t="s">
        <v>15</v>
      </c>
      <c r="N8" s="27" t="s">
        <v>16</v>
      </c>
      <c r="O8" s="27" t="s">
        <v>13</v>
      </c>
      <c r="P8" s="27" t="s">
        <v>14</v>
      </c>
      <c r="Q8" s="27" t="s">
        <v>15</v>
      </c>
      <c r="R8" s="27" t="s">
        <v>16</v>
      </c>
      <c r="S8" s="27" t="s">
        <v>17</v>
      </c>
      <c r="T8" s="27" t="s">
        <v>18</v>
      </c>
      <c r="U8" s="27" t="s">
        <v>19</v>
      </c>
    </row>
    <row r="9" spans="2:21" x14ac:dyDescent="0.2">
      <c r="B9" s="16"/>
      <c r="C9" s="16"/>
      <c r="D9" s="4"/>
      <c r="E9" s="4"/>
      <c r="F9" s="4"/>
      <c r="G9" s="16"/>
      <c r="H9" s="4"/>
      <c r="I9" s="28"/>
      <c r="J9" s="28"/>
      <c r="K9" s="6"/>
      <c r="L9" s="6"/>
      <c r="M9" s="6"/>
      <c r="N9" s="7"/>
      <c r="O9" s="6"/>
      <c r="P9" s="6"/>
      <c r="Q9" s="6"/>
      <c r="R9" s="7"/>
      <c r="S9" s="8"/>
    </row>
    <row r="10" spans="2:21" x14ac:dyDescent="0.2">
      <c r="B10" s="29" t="s">
        <v>20</v>
      </c>
      <c r="C10" s="16"/>
      <c r="D10" s="4"/>
      <c r="E10" s="4"/>
      <c r="F10" s="4"/>
      <c r="G10" s="16"/>
      <c r="H10" s="4"/>
      <c r="I10" s="28"/>
      <c r="J10" s="28"/>
      <c r="K10" s="6"/>
      <c r="L10" s="6"/>
      <c r="M10" s="6"/>
      <c r="N10" s="7"/>
      <c r="O10" s="6"/>
      <c r="P10" s="6"/>
      <c r="Q10" s="6"/>
      <c r="R10" s="7"/>
      <c r="S10" s="8"/>
    </row>
    <row r="11" spans="2:21" x14ac:dyDescent="0.2">
      <c r="B11" s="30" t="s">
        <v>21</v>
      </c>
      <c r="C11" s="31">
        <v>0</v>
      </c>
      <c r="D11" s="32" t="s">
        <v>22</v>
      </c>
      <c r="E11" s="32" t="s">
        <v>22</v>
      </c>
      <c r="F11" s="32" t="s">
        <v>22</v>
      </c>
      <c r="G11" s="33" t="s">
        <v>23</v>
      </c>
      <c r="H11" s="34">
        <v>1000</v>
      </c>
      <c r="I11" s="35">
        <v>0</v>
      </c>
      <c r="J11" s="35">
        <v>0</v>
      </c>
      <c r="K11" s="36">
        <v>0</v>
      </c>
      <c r="L11" s="36">
        <v>0</v>
      </c>
      <c r="M11" s="37">
        <f>K11+L11</f>
        <v>0</v>
      </c>
      <c r="N11" s="38">
        <f>ROUND((J11*M11)/H11,2)</f>
        <v>0</v>
      </c>
      <c r="O11" s="37">
        <f>ROUND(K11*(1+S11),3)</f>
        <v>0</v>
      </c>
      <c r="P11" s="37">
        <f>ROUND(K11*T11,3)</f>
        <v>0</v>
      </c>
      <c r="Q11" s="39">
        <f>O11+P11</f>
        <v>0</v>
      </c>
      <c r="R11" s="38">
        <f>ROUND(J11*Q11/H11,2)</f>
        <v>0</v>
      </c>
      <c r="S11" s="40">
        <v>0</v>
      </c>
      <c r="T11" s="40">
        <v>0</v>
      </c>
      <c r="U11" s="41" t="str">
        <f>IF(M11=0,"N/A",Q11/M11-1)</f>
        <v>N/A</v>
      </c>
    </row>
    <row r="12" spans="2:21" x14ac:dyDescent="0.2">
      <c r="B12" s="30" t="s">
        <v>21</v>
      </c>
      <c r="C12" s="31">
        <v>0</v>
      </c>
      <c r="D12" s="32" t="s">
        <v>22</v>
      </c>
      <c r="E12" s="32" t="s">
        <v>22</v>
      </c>
      <c r="F12" s="32" t="s">
        <v>22</v>
      </c>
      <c r="G12" s="33" t="s">
        <v>23</v>
      </c>
      <c r="H12" s="34">
        <v>1000</v>
      </c>
      <c r="I12" s="35">
        <v>0</v>
      </c>
      <c r="J12" s="35">
        <v>0</v>
      </c>
      <c r="K12" s="36">
        <v>0</v>
      </c>
      <c r="L12" s="36">
        <v>0</v>
      </c>
      <c r="M12" s="37">
        <f>K12+L12</f>
        <v>0</v>
      </c>
      <c r="N12" s="38">
        <f>ROUND((J12*M12)/H12,2)</f>
        <v>0</v>
      </c>
      <c r="O12" s="37">
        <f>ROUND(K12*(1+S12),3)</f>
        <v>0</v>
      </c>
      <c r="P12" s="37">
        <f>ROUND(K12*T12,3)</f>
        <v>0</v>
      </c>
      <c r="Q12" s="39">
        <f>O12+P12</f>
        <v>0</v>
      </c>
      <c r="R12" s="42">
        <f>ROUND(J12*Q12/H12,2)</f>
        <v>0</v>
      </c>
      <c r="S12" s="40">
        <v>0</v>
      </c>
      <c r="T12" s="40">
        <v>0</v>
      </c>
      <c r="U12" s="41" t="str">
        <f>IF(M12=0,"N/A",Q12/M12-1)</f>
        <v>N/A</v>
      </c>
    </row>
    <row r="13" spans="2:21" x14ac:dyDescent="0.2">
      <c r="B13" s="30" t="s">
        <v>21</v>
      </c>
      <c r="C13" s="31">
        <v>0</v>
      </c>
      <c r="D13" s="32" t="s">
        <v>22</v>
      </c>
      <c r="E13" s="32" t="s">
        <v>22</v>
      </c>
      <c r="F13" s="32" t="s">
        <v>22</v>
      </c>
      <c r="G13" s="33" t="s">
        <v>23</v>
      </c>
      <c r="H13" s="34">
        <v>1000</v>
      </c>
      <c r="I13" s="35">
        <v>0</v>
      </c>
      <c r="J13" s="35">
        <v>0</v>
      </c>
      <c r="K13" s="36">
        <v>0</v>
      </c>
      <c r="L13" s="36">
        <v>0</v>
      </c>
      <c r="M13" s="37">
        <f>K13+L13</f>
        <v>0</v>
      </c>
      <c r="N13" s="38">
        <f>ROUND((J13*M13)/H13,2)</f>
        <v>0</v>
      </c>
      <c r="O13" s="37">
        <f>ROUND(K13*(1+S13),3)</f>
        <v>0</v>
      </c>
      <c r="P13" s="37">
        <f>ROUND(K13*T13,3)</f>
        <v>0</v>
      </c>
      <c r="Q13" s="39">
        <f>O13+P13</f>
        <v>0</v>
      </c>
      <c r="R13" s="42">
        <f>ROUND(J13*Q13/H13,2)</f>
        <v>0</v>
      </c>
      <c r="S13" s="40">
        <v>0</v>
      </c>
      <c r="T13" s="40">
        <v>0</v>
      </c>
      <c r="U13" s="41" t="str">
        <f>IF(M13=0,"N/A",Q13/M13-1)</f>
        <v>N/A</v>
      </c>
    </row>
    <row r="14" spans="2:21" x14ac:dyDescent="0.2">
      <c r="B14" s="30" t="s">
        <v>21</v>
      </c>
      <c r="C14" s="31">
        <v>0</v>
      </c>
      <c r="D14" s="32" t="s">
        <v>22</v>
      </c>
      <c r="E14" s="32" t="s">
        <v>22</v>
      </c>
      <c r="F14" s="32" t="s">
        <v>22</v>
      </c>
      <c r="G14" s="33" t="s">
        <v>23</v>
      </c>
      <c r="H14" s="34">
        <v>1000</v>
      </c>
      <c r="I14" s="35">
        <v>0</v>
      </c>
      <c r="J14" s="35">
        <v>0</v>
      </c>
      <c r="K14" s="36">
        <v>0</v>
      </c>
      <c r="L14" s="36">
        <v>0</v>
      </c>
      <c r="M14" s="37">
        <f>K14+L14</f>
        <v>0</v>
      </c>
      <c r="N14" s="38">
        <f>ROUND((J14*M14)/H14,2)</f>
        <v>0</v>
      </c>
      <c r="O14" s="37">
        <f>ROUND(K14*(1+S14),3)</f>
        <v>0</v>
      </c>
      <c r="P14" s="37">
        <f>ROUND(K14*T14,3)</f>
        <v>0</v>
      </c>
      <c r="Q14" s="39">
        <f>O14+P14</f>
        <v>0</v>
      </c>
      <c r="R14" s="42">
        <f>ROUND(J14*Q14/H14,2)</f>
        <v>0</v>
      </c>
      <c r="S14" s="40">
        <v>0</v>
      </c>
      <c r="T14" s="40">
        <v>0</v>
      </c>
      <c r="U14" s="41" t="str">
        <f>IF(M14=0,"N/A",Q14/M14-1)</f>
        <v>N/A</v>
      </c>
    </row>
    <row r="15" spans="2:21" x14ac:dyDescent="0.2">
      <c r="B15" s="30" t="s">
        <v>21</v>
      </c>
      <c r="C15" s="31">
        <v>0</v>
      </c>
      <c r="D15" s="32" t="s">
        <v>22</v>
      </c>
      <c r="E15" s="32" t="s">
        <v>22</v>
      </c>
      <c r="F15" s="32" t="s">
        <v>22</v>
      </c>
      <c r="G15" s="33" t="s">
        <v>23</v>
      </c>
      <c r="H15" s="34">
        <v>1000</v>
      </c>
      <c r="I15" s="35">
        <v>0</v>
      </c>
      <c r="J15" s="35">
        <v>0</v>
      </c>
      <c r="K15" s="36">
        <v>0</v>
      </c>
      <c r="L15" s="36">
        <v>0</v>
      </c>
      <c r="M15" s="37">
        <f>K15+L15</f>
        <v>0</v>
      </c>
      <c r="N15" s="38">
        <f>ROUND((J15*M15)/H15,2)</f>
        <v>0</v>
      </c>
      <c r="O15" s="37">
        <f>ROUND(K15*(1+S15),3)</f>
        <v>0</v>
      </c>
      <c r="P15" s="37">
        <f>ROUND(K15*T15,3)</f>
        <v>0</v>
      </c>
      <c r="Q15" s="39">
        <f>O15+P15</f>
        <v>0</v>
      </c>
      <c r="R15" s="42">
        <f>ROUND(J15*Q15/H15,2)</f>
        <v>0</v>
      </c>
      <c r="S15" s="40">
        <v>0</v>
      </c>
      <c r="T15" s="40">
        <v>0</v>
      </c>
      <c r="U15" s="41" t="str">
        <f>IF(M15=0,"N/A",Q15/M15-1)</f>
        <v>N/A</v>
      </c>
    </row>
    <row r="16" spans="2:21" x14ac:dyDescent="0.2">
      <c r="B16" s="30" t="s">
        <v>21</v>
      </c>
      <c r="C16" s="31">
        <v>0</v>
      </c>
      <c r="D16" s="32" t="s">
        <v>22</v>
      </c>
      <c r="E16" s="32" t="s">
        <v>22</v>
      </c>
      <c r="F16" s="32" t="s">
        <v>22</v>
      </c>
      <c r="G16" s="33" t="s">
        <v>23</v>
      </c>
      <c r="H16" s="34">
        <v>1000</v>
      </c>
      <c r="I16" s="35">
        <v>0</v>
      </c>
      <c r="J16" s="35">
        <v>0</v>
      </c>
      <c r="K16" s="36">
        <v>0</v>
      </c>
      <c r="L16" s="36">
        <v>0</v>
      </c>
      <c r="M16" s="37">
        <f>K16+L16</f>
        <v>0</v>
      </c>
      <c r="N16" s="38">
        <f>ROUND((J16*M16)/H16,2)</f>
        <v>0</v>
      </c>
      <c r="O16" s="37">
        <f>ROUND(K16*(1+S16),3)</f>
        <v>0</v>
      </c>
      <c r="P16" s="37">
        <f>ROUND(K16*T16,3)</f>
        <v>0</v>
      </c>
      <c r="Q16" s="39">
        <f>O16+P16</f>
        <v>0</v>
      </c>
      <c r="R16" s="42">
        <f>ROUND(J16*Q16/H16,2)</f>
        <v>0</v>
      </c>
      <c r="S16" s="40">
        <v>0</v>
      </c>
      <c r="T16" s="40">
        <v>0</v>
      </c>
      <c r="U16" s="41" t="str">
        <f>IF(M16=0,"N/A",Q16/M16-1)</f>
        <v>N/A</v>
      </c>
    </row>
    <row r="17" spans="2:21" x14ac:dyDescent="0.2">
      <c r="B17" s="43"/>
      <c r="C17" s="44"/>
      <c r="D17" s="44"/>
      <c r="E17" s="44"/>
      <c r="F17" s="44"/>
      <c r="G17" s="16"/>
      <c r="H17" s="45"/>
      <c r="I17" s="46"/>
      <c r="J17" s="46"/>
      <c r="K17" s="47"/>
      <c r="L17" s="47"/>
      <c r="M17" s="37"/>
      <c r="N17" s="38"/>
      <c r="O17" s="37"/>
      <c r="P17" s="37"/>
      <c r="Q17" s="39"/>
      <c r="R17" s="38"/>
      <c r="S17" s="48"/>
      <c r="T17" s="48"/>
      <c r="U17" s="41"/>
    </row>
    <row r="18" spans="2:21" hidden="1" x14ac:dyDescent="0.2">
      <c r="B18" s="43"/>
      <c r="C18" s="44"/>
      <c r="D18" s="44"/>
      <c r="E18" s="44"/>
      <c r="F18" s="44"/>
      <c r="G18" s="49"/>
      <c r="H18" s="4"/>
      <c r="I18" s="46"/>
      <c r="J18" s="46"/>
      <c r="K18" s="47"/>
      <c r="L18" s="47"/>
      <c r="M18" s="37"/>
      <c r="N18" s="50"/>
      <c r="O18" s="37"/>
      <c r="P18" s="37"/>
      <c r="Q18" s="39"/>
      <c r="R18" s="50"/>
      <c r="S18" s="51"/>
    </row>
    <row r="19" spans="2:21" x14ac:dyDescent="0.2">
      <c r="B19" s="33" t="str">
        <f>"Total " &amp; B10</f>
        <v>Total Basic Life</v>
      </c>
      <c r="C19" s="52"/>
      <c r="D19" s="53"/>
      <c r="E19" s="54"/>
      <c r="F19" s="54"/>
      <c r="G19" s="15"/>
      <c r="H19" s="18"/>
      <c r="I19" s="55">
        <f>SUM(I11:I18)</f>
        <v>0</v>
      </c>
      <c r="J19" s="56">
        <f>SUM(J11:J18)</f>
        <v>0</v>
      </c>
      <c r="K19" s="57"/>
      <c r="L19" s="57"/>
      <c r="M19" s="57"/>
      <c r="N19" s="38">
        <f>SUM(N11:N18)</f>
        <v>0</v>
      </c>
      <c r="O19" s="57"/>
      <c r="P19" s="57"/>
      <c r="Q19" s="57"/>
      <c r="R19" s="38">
        <f>SUM(R11:R18)</f>
        <v>0</v>
      </c>
      <c r="S19" s="48"/>
      <c r="T19" s="48"/>
      <c r="U19" s="41" t="str">
        <f>IF(N19=0,"N/A",R19/N19-1)</f>
        <v>N/A</v>
      </c>
    </row>
    <row r="20" spans="2:21" x14ac:dyDescent="0.2">
      <c r="B20" s="16"/>
      <c r="C20" s="52"/>
      <c r="D20" s="53"/>
      <c r="E20" s="54"/>
      <c r="F20" s="54"/>
      <c r="G20" s="15"/>
      <c r="H20" s="18"/>
      <c r="I20" s="58"/>
      <c r="J20" s="58"/>
      <c r="K20" s="57"/>
      <c r="L20" s="57"/>
      <c r="M20" s="57"/>
      <c r="N20" s="38"/>
      <c r="O20" s="57"/>
      <c r="P20" s="57"/>
      <c r="Q20" s="57"/>
      <c r="R20" s="38"/>
      <c r="S20" s="48"/>
      <c r="T20" s="48"/>
      <c r="U20" s="41"/>
    </row>
    <row r="21" spans="2:21" x14ac:dyDescent="0.2">
      <c r="B21" s="29" t="s">
        <v>24</v>
      </c>
      <c r="C21" s="52"/>
      <c r="D21" s="53"/>
      <c r="E21" s="54"/>
      <c r="F21" s="54"/>
      <c r="G21" s="15"/>
      <c r="H21" s="18"/>
      <c r="I21" s="58"/>
      <c r="J21" s="58"/>
      <c r="K21" s="57"/>
      <c r="L21" s="57"/>
      <c r="M21" s="57"/>
      <c r="N21" s="59"/>
      <c r="O21" s="57"/>
      <c r="P21" s="57"/>
      <c r="Q21" s="57"/>
      <c r="R21" s="59"/>
      <c r="S21" s="41"/>
    </row>
    <row r="22" spans="2:21" x14ac:dyDescent="0.2">
      <c r="B22" s="60" t="s">
        <v>25</v>
      </c>
      <c r="C22" s="31">
        <v>0</v>
      </c>
      <c r="D22" s="32" t="s">
        <v>22</v>
      </c>
      <c r="E22" s="32" t="s">
        <v>22</v>
      </c>
      <c r="F22" s="32" t="s">
        <v>22</v>
      </c>
      <c r="G22" s="33" t="s">
        <v>23</v>
      </c>
      <c r="H22" s="32" t="s">
        <v>26</v>
      </c>
      <c r="I22" s="61">
        <v>0</v>
      </c>
      <c r="J22" s="61"/>
      <c r="K22" s="36">
        <v>0</v>
      </c>
      <c r="L22" s="36">
        <v>0</v>
      </c>
      <c r="M22" s="37">
        <f>K22+L22</f>
        <v>0</v>
      </c>
      <c r="N22" s="38">
        <f>ROUND(M22*I22,2)</f>
        <v>0</v>
      </c>
      <c r="O22" s="37">
        <f>ROUND(K22*(1+S22),3)</f>
        <v>0</v>
      </c>
      <c r="P22" s="37">
        <f>ROUND(K22*T22,3)</f>
        <v>0</v>
      </c>
      <c r="Q22" s="39">
        <f>O22+P22</f>
        <v>0</v>
      </c>
      <c r="R22" s="38">
        <f>ROUND(Q22*I22,2)</f>
        <v>0</v>
      </c>
      <c r="S22" s="40">
        <v>0</v>
      </c>
      <c r="T22" s="40">
        <v>0</v>
      </c>
      <c r="U22" s="41" t="str">
        <f>IF(M22=0,"N/A",Q22/M22-1)</f>
        <v>N/A</v>
      </c>
    </row>
    <row r="23" spans="2:21" x14ac:dyDescent="0.2">
      <c r="B23" s="60" t="s">
        <v>25</v>
      </c>
      <c r="C23" s="31">
        <v>0</v>
      </c>
      <c r="D23" s="32" t="s">
        <v>22</v>
      </c>
      <c r="E23" s="32" t="s">
        <v>22</v>
      </c>
      <c r="F23" s="32" t="s">
        <v>22</v>
      </c>
      <c r="G23" s="33" t="s">
        <v>23</v>
      </c>
      <c r="H23" s="32" t="s">
        <v>26</v>
      </c>
      <c r="I23" s="61">
        <v>0</v>
      </c>
      <c r="J23" s="61"/>
      <c r="K23" s="36">
        <v>0</v>
      </c>
      <c r="L23" s="36">
        <v>0</v>
      </c>
      <c r="M23" s="37">
        <f>K23+L23</f>
        <v>0</v>
      </c>
      <c r="N23" s="38">
        <f>ROUND(M23*I23,2)</f>
        <v>0</v>
      </c>
      <c r="O23" s="37">
        <f>ROUND(K23*(1+S23),3)</f>
        <v>0</v>
      </c>
      <c r="P23" s="37">
        <f>ROUND(K23*T23,3)</f>
        <v>0</v>
      </c>
      <c r="Q23" s="39">
        <f>O23+P23</f>
        <v>0</v>
      </c>
      <c r="R23" s="42">
        <f>ROUND(Q23*I23,2)</f>
        <v>0</v>
      </c>
      <c r="S23" s="40">
        <v>0</v>
      </c>
      <c r="T23" s="40">
        <v>0</v>
      </c>
      <c r="U23" s="41" t="str">
        <f>IF(M23=0,"N/A",Q23/M23-1)</f>
        <v>N/A</v>
      </c>
    </row>
    <row r="24" spans="2:21" x14ac:dyDescent="0.2">
      <c r="B24" s="60" t="s">
        <v>25</v>
      </c>
      <c r="C24" s="31">
        <v>0</v>
      </c>
      <c r="D24" s="32" t="s">
        <v>22</v>
      </c>
      <c r="E24" s="32" t="s">
        <v>22</v>
      </c>
      <c r="F24" s="32" t="s">
        <v>22</v>
      </c>
      <c r="G24" s="33" t="s">
        <v>23</v>
      </c>
      <c r="H24" s="32" t="s">
        <v>26</v>
      </c>
      <c r="I24" s="61">
        <v>0</v>
      </c>
      <c r="J24" s="61"/>
      <c r="K24" s="36">
        <v>0</v>
      </c>
      <c r="L24" s="36">
        <v>0</v>
      </c>
      <c r="M24" s="37">
        <f>K24+L24</f>
        <v>0</v>
      </c>
      <c r="N24" s="38">
        <f>ROUND(M24*I24,2)</f>
        <v>0</v>
      </c>
      <c r="O24" s="37">
        <f>ROUND(K24*(1+S24),3)</f>
        <v>0</v>
      </c>
      <c r="P24" s="37">
        <f>ROUND(K24*T24,3)</f>
        <v>0</v>
      </c>
      <c r="Q24" s="39">
        <f>O24+P24</f>
        <v>0</v>
      </c>
      <c r="R24" s="42">
        <f>ROUND(Q24*I24,2)</f>
        <v>0</v>
      </c>
      <c r="S24" s="40">
        <v>0</v>
      </c>
      <c r="T24" s="40">
        <v>0</v>
      </c>
      <c r="U24" s="41" t="str">
        <f>IF(M24=0,"N/A",Q24/M24-1)</f>
        <v>N/A</v>
      </c>
    </row>
    <row r="25" spans="2:21" x14ac:dyDescent="0.2">
      <c r="B25" s="60" t="s">
        <v>25</v>
      </c>
      <c r="C25" s="31">
        <v>0</v>
      </c>
      <c r="D25" s="32" t="s">
        <v>22</v>
      </c>
      <c r="E25" s="32" t="s">
        <v>22</v>
      </c>
      <c r="F25" s="32" t="s">
        <v>22</v>
      </c>
      <c r="G25" s="33" t="s">
        <v>23</v>
      </c>
      <c r="H25" s="32" t="s">
        <v>26</v>
      </c>
      <c r="I25" s="61">
        <v>0</v>
      </c>
      <c r="J25" s="61"/>
      <c r="K25" s="36">
        <v>0</v>
      </c>
      <c r="L25" s="36">
        <v>0</v>
      </c>
      <c r="M25" s="37">
        <f>K25+L25</f>
        <v>0</v>
      </c>
      <c r="N25" s="38">
        <f>ROUND(M25*I25,2)</f>
        <v>0</v>
      </c>
      <c r="O25" s="37">
        <f>ROUND(K25*(1+S25),3)</f>
        <v>0</v>
      </c>
      <c r="P25" s="37">
        <f>ROUND(K25*T25,3)</f>
        <v>0</v>
      </c>
      <c r="Q25" s="39">
        <f>O25+P25</f>
        <v>0</v>
      </c>
      <c r="R25" s="42">
        <f>ROUND(Q25*I25,2)</f>
        <v>0</v>
      </c>
      <c r="S25" s="40">
        <v>0</v>
      </c>
      <c r="T25" s="40">
        <v>0</v>
      </c>
      <c r="U25" s="41" t="str">
        <f>IF(M25=0,"N/A",Q25/M25-1)</f>
        <v>N/A</v>
      </c>
    </row>
    <row r="26" spans="2:21" x14ac:dyDescent="0.2">
      <c r="B26" s="60" t="s">
        <v>25</v>
      </c>
      <c r="C26" s="31">
        <v>0</v>
      </c>
      <c r="D26" s="32" t="s">
        <v>22</v>
      </c>
      <c r="E26" s="32" t="s">
        <v>22</v>
      </c>
      <c r="F26" s="32" t="s">
        <v>22</v>
      </c>
      <c r="G26" s="33" t="s">
        <v>23</v>
      </c>
      <c r="H26" s="32" t="s">
        <v>26</v>
      </c>
      <c r="I26" s="61">
        <v>0</v>
      </c>
      <c r="J26" s="61"/>
      <c r="K26" s="36">
        <v>0</v>
      </c>
      <c r="L26" s="36">
        <v>0</v>
      </c>
      <c r="M26" s="37">
        <f>K26+L26</f>
        <v>0</v>
      </c>
      <c r="N26" s="38">
        <f>ROUND(M26*I26,2)</f>
        <v>0</v>
      </c>
      <c r="O26" s="37">
        <f>ROUND(K26*(1+S26),3)</f>
        <v>0</v>
      </c>
      <c r="P26" s="37">
        <f>ROUND(K26*T26,3)</f>
        <v>0</v>
      </c>
      <c r="Q26" s="39">
        <f>O26+P26</f>
        <v>0</v>
      </c>
      <c r="R26" s="42">
        <f>ROUND(Q26*I26,2)</f>
        <v>0</v>
      </c>
      <c r="S26" s="40">
        <v>0</v>
      </c>
      <c r="T26" s="40">
        <v>0</v>
      </c>
      <c r="U26" s="41" t="str">
        <f>IF(M26=0,"N/A",Q26/M26-1)</f>
        <v>N/A</v>
      </c>
    </row>
    <row r="27" spans="2:21" x14ac:dyDescent="0.2">
      <c r="B27" s="60" t="s">
        <v>25</v>
      </c>
      <c r="C27" s="31">
        <v>0</v>
      </c>
      <c r="D27" s="32" t="s">
        <v>22</v>
      </c>
      <c r="E27" s="32" t="s">
        <v>22</v>
      </c>
      <c r="F27" s="32" t="s">
        <v>22</v>
      </c>
      <c r="G27" s="33" t="s">
        <v>23</v>
      </c>
      <c r="H27" s="32" t="s">
        <v>26</v>
      </c>
      <c r="I27" s="61">
        <v>0</v>
      </c>
      <c r="J27" s="61"/>
      <c r="K27" s="36">
        <v>0</v>
      </c>
      <c r="L27" s="36">
        <v>0</v>
      </c>
      <c r="M27" s="37">
        <f>K27+L27</f>
        <v>0</v>
      </c>
      <c r="N27" s="38">
        <f>ROUND(M27*I27,2)</f>
        <v>0</v>
      </c>
      <c r="O27" s="37">
        <f>ROUND(K27*(1+S27),3)</f>
        <v>0</v>
      </c>
      <c r="P27" s="37">
        <f>ROUND(K27*T27,3)</f>
        <v>0</v>
      </c>
      <c r="Q27" s="39">
        <f>O27+P27</f>
        <v>0</v>
      </c>
      <c r="R27" s="42">
        <f>ROUND(Q27*I27,2)</f>
        <v>0</v>
      </c>
      <c r="S27" s="40">
        <v>0</v>
      </c>
      <c r="T27" s="40">
        <v>0</v>
      </c>
      <c r="U27" s="41" t="str">
        <f>IF(M27=0,"N/A",Q27/M27-1)</f>
        <v>N/A</v>
      </c>
    </row>
    <row r="28" spans="2:21" x14ac:dyDescent="0.2">
      <c r="B28" s="4"/>
      <c r="C28" s="53"/>
      <c r="D28" s="53"/>
      <c r="E28" s="54"/>
      <c r="F28" s="54"/>
      <c r="G28" s="16"/>
      <c r="H28" s="4"/>
      <c r="I28" s="62"/>
      <c r="J28" s="62"/>
      <c r="K28" s="63"/>
      <c r="L28" s="47"/>
      <c r="M28" s="37"/>
      <c r="N28" s="38"/>
      <c r="O28" s="64"/>
      <c r="P28" s="37"/>
      <c r="Q28" s="39"/>
      <c r="R28" s="38"/>
      <c r="S28" s="48"/>
      <c r="T28" s="48"/>
      <c r="U28" s="41"/>
    </row>
    <row r="29" spans="2:21" hidden="1" x14ac:dyDescent="0.2">
      <c r="B29" s="4"/>
      <c r="C29" s="53"/>
      <c r="D29" s="53"/>
      <c r="E29" s="54"/>
      <c r="F29" s="54"/>
      <c r="G29" s="16"/>
      <c r="H29" s="4"/>
      <c r="I29" s="62"/>
      <c r="J29" s="62"/>
      <c r="K29" s="63"/>
      <c r="L29" s="47"/>
      <c r="M29" s="37"/>
      <c r="N29" s="50"/>
      <c r="O29" s="64"/>
      <c r="P29" s="37"/>
      <c r="Q29" s="39"/>
      <c r="R29" s="50"/>
      <c r="S29" s="41"/>
    </row>
    <row r="30" spans="2:21" x14ac:dyDescent="0.2">
      <c r="B30" s="33" t="str">
        <f>"Total " &amp; B21</f>
        <v>Total Dependent Life</v>
      </c>
      <c r="C30" s="52"/>
      <c r="D30" s="53"/>
      <c r="E30" s="54"/>
      <c r="F30" s="54"/>
      <c r="G30" s="15"/>
      <c r="H30" s="18"/>
      <c r="I30" s="65">
        <f>SUM(I22:I29)</f>
        <v>0</v>
      </c>
      <c r="J30" s="56"/>
      <c r="K30" s="57"/>
      <c r="L30" s="57"/>
      <c r="M30" s="57"/>
      <c r="N30" s="38">
        <f>SUM(N22:N29)</f>
        <v>0</v>
      </c>
      <c r="O30" s="57"/>
      <c r="P30" s="57"/>
      <c r="Q30" s="57"/>
      <c r="R30" s="38">
        <f>SUM(R22:R29)</f>
        <v>0</v>
      </c>
      <c r="S30" s="48"/>
      <c r="T30" s="48"/>
      <c r="U30" s="41" t="str">
        <f>IF(N30=0,"N/A",R30/N30-1)</f>
        <v>N/A</v>
      </c>
    </row>
    <row r="31" spans="2:21" x14ac:dyDescent="0.2">
      <c r="B31" s="15"/>
      <c r="C31" s="52"/>
      <c r="D31" s="53"/>
      <c r="E31" s="54"/>
      <c r="F31" s="54"/>
      <c r="G31" s="15"/>
      <c r="H31" s="18"/>
      <c r="I31" s="58"/>
      <c r="J31" s="58"/>
      <c r="K31" s="57"/>
      <c r="L31" s="57"/>
      <c r="M31" s="57"/>
      <c r="N31" s="38"/>
      <c r="O31" s="57"/>
      <c r="P31" s="57"/>
      <c r="Q31" s="57"/>
      <c r="R31" s="38"/>
      <c r="S31" s="48"/>
    </row>
    <row r="32" spans="2:21" x14ac:dyDescent="0.2">
      <c r="B32" s="29" t="s">
        <v>27</v>
      </c>
      <c r="C32" s="66"/>
      <c r="D32" s="53"/>
      <c r="E32" s="53"/>
      <c r="F32" s="53"/>
      <c r="G32" s="16"/>
      <c r="H32" s="4"/>
      <c r="I32" s="28"/>
      <c r="J32" s="28"/>
      <c r="K32" s="6"/>
      <c r="L32" s="6"/>
      <c r="M32" s="6"/>
      <c r="N32" s="7"/>
      <c r="O32" s="6"/>
      <c r="P32" s="6"/>
      <c r="Q32" s="6"/>
      <c r="R32" s="7"/>
      <c r="S32" s="8"/>
    </row>
    <row r="33" spans="2:21" x14ac:dyDescent="0.2">
      <c r="B33" s="30" t="s">
        <v>28</v>
      </c>
      <c r="C33" s="31">
        <v>0</v>
      </c>
      <c r="D33" s="31">
        <v>0</v>
      </c>
      <c r="E33" s="32" t="s">
        <v>22</v>
      </c>
      <c r="F33" s="32" t="s">
        <v>22</v>
      </c>
      <c r="G33" s="33" t="s">
        <v>23</v>
      </c>
      <c r="H33" s="34">
        <v>1000</v>
      </c>
      <c r="I33" s="35">
        <v>0</v>
      </c>
      <c r="J33" s="35">
        <v>0</v>
      </c>
      <c r="K33" s="36">
        <v>0</v>
      </c>
      <c r="L33" s="36">
        <v>0</v>
      </c>
      <c r="M33" s="37">
        <f>K33+L33</f>
        <v>0</v>
      </c>
      <c r="N33" s="38">
        <f>ROUND((J33*M33)/H33,2)</f>
        <v>0</v>
      </c>
      <c r="O33" s="37">
        <f>ROUND(K33*(1+S33),3)</f>
        <v>0</v>
      </c>
      <c r="P33" s="37">
        <f>ROUND(K33*T33,3)</f>
        <v>0</v>
      </c>
      <c r="Q33" s="39">
        <f>O33+P33</f>
        <v>0</v>
      </c>
      <c r="R33" s="38">
        <f>ROUND(J33*Q33/H33,2)</f>
        <v>0</v>
      </c>
      <c r="S33" s="40">
        <v>0</v>
      </c>
      <c r="T33" s="40">
        <v>0</v>
      </c>
      <c r="U33" s="41" t="str">
        <f>IF(M33=0,"N/A",Q33/M33-1)</f>
        <v>N/A</v>
      </c>
    </row>
    <row r="34" spans="2:21" x14ac:dyDescent="0.2">
      <c r="B34" s="30" t="s">
        <v>28</v>
      </c>
      <c r="C34" s="31">
        <v>0</v>
      </c>
      <c r="D34" s="31">
        <v>0</v>
      </c>
      <c r="E34" s="32" t="s">
        <v>22</v>
      </c>
      <c r="F34" s="32" t="s">
        <v>22</v>
      </c>
      <c r="G34" s="33" t="s">
        <v>23</v>
      </c>
      <c r="H34" s="34">
        <v>1000</v>
      </c>
      <c r="I34" s="35">
        <v>0</v>
      </c>
      <c r="J34" s="35">
        <v>0</v>
      </c>
      <c r="K34" s="36">
        <v>0</v>
      </c>
      <c r="L34" s="36">
        <v>0</v>
      </c>
      <c r="M34" s="37">
        <f>K34+L34</f>
        <v>0</v>
      </c>
      <c r="N34" s="38">
        <f>ROUND((J34*M34)/H34,2)</f>
        <v>0</v>
      </c>
      <c r="O34" s="37">
        <f>ROUND(K34*(1+S34),3)</f>
        <v>0</v>
      </c>
      <c r="P34" s="37">
        <f>ROUND(K34*T34,3)</f>
        <v>0</v>
      </c>
      <c r="Q34" s="39">
        <f>O34+P34</f>
        <v>0</v>
      </c>
      <c r="R34" s="42">
        <f>ROUND(J34*Q34/H34,2)</f>
        <v>0</v>
      </c>
      <c r="S34" s="40">
        <v>0</v>
      </c>
      <c r="T34" s="40">
        <v>0</v>
      </c>
      <c r="U34" s="41" t="str">
        <f>IF(M34=0,"N/A",Q34/M34-1)</f>
        <v>N/A</v>
      </c>
    </row>
    <row r="35" spans="2:21" x14ac:dyDescent="0.2">
      <c r="B35" s="30" t="s">
        <v>28</v>
      </c>
      <c r="C35" s="31">
        <v>0</v>
      </c>
      <c r="D35" s="31">
        <v>0</v>
      </c>
      <c r="E35" s="32" t="s">
        <v>22</v>
      </c>
      <c r="F35" s="32" t="s">
        <v>22</v>
      </c>
      <c r="G35" s="33" t="s">
        <v>23</v>
      </c>
      <c r="H35" s="34">
        <v>1000</v>
      </c>
      <c r="I35" s="35">
        <v>0</v>
      </c>
      <c r="J35" s="35">
        <v>0</v>
      </c>
      <c r="K35" s="36">
        <v>0</v>
      </c>
      <c r="L35" s="36">
        <v>0</v>
      </c>
      <c r="M35" s="37">
        <f>K35+L35</f>
        <v>0</v>
      </c>
      <c r="N35" s="38">
        <f>ROUND((J35*M35)/H35,2)</f>
        <v>0</v>
      </c>
      <c r="O35" s="37">
        <f>ROUND(K35*(1+S35),3)</f>
        <v>0</v>
      </c>
      <c r="P35" s="37">
        <f>ROUND(K35*T35,3)</f>
        <v>0</v>
      </c>
      <c r="Q35" s="39">
        <f>O35+P35</f>
        <v>0</v>
      </c>
      <c r="R35" s="42">
        <f>ROUND(J35*Q35/H35,2)</f>
        <v>0</v>
      </c>
      <c r="S35" s="40">
        <v>0</v>
      </c>
      <c r="T35" s="40">
        <v>0</v>
      </c>
      <c r="U35" s="41" t="str">
        <f>IF(M35=0,"N/A",Q35/M35-1)</f>
        <v>N/A</v>
      </c>
    </row>
    <row r="36" spans="2:21" x14ac:dyDescent="0.2">
      <c r="B36" s="30" t="s">
        <v>28</v>
      </c>
      <c r="C36" s="31">
        <v>0</v>
      </c>
      <c r="D36" s="31">
        <v>0</v>
      </c>
      <c r="E36" s="32" t="s">
        <v>22</v>
      </c>
      <c r="F36" s="32" t="s">
        <v>22</v>
      </c>
      <c r="G36" s="33" t="s">
        <v>23</v>
      </c>
      <c r="H36" s="34">
        <v>1000</v>
      </c>
      <c r="I36" s="35">
        <v>0</v>
      </c>
      <c r="J36" s="35">
        <v>0</v>
      </c>
      <c r="K36" s="36">
        <v>0</v>
      </c>
      <c r="L36" s="36">
        <v>0</v>
      </c>
      <c r="M36" s="37">
        <f>K36+L36</f>
        <v>0</v>
      </c>
      <c r="N36" s="38">
        <f>ROUND((J36*M36)/H36,2)</f>
        <v>0</v>
      </c>
      <c r="O36" s="37">
        <f>ROUND(K36*(1+S36),3)</f>
        <v>0</v>
      </c>
      <c r="P36" s="37">
        <f>ROUND(K36*T36,3)</f>
        <v>0</v>
      </c>
      <c r="Q36" s="39">
        <f>O36+P36</f>
        <v>0</v>
      </c>
      <c r="R36" s="42">
        <f>ROUND(J36*Q36/H36,2)</f>
        <v>0</v>
      </c>
      <c r="S36" s="40">
        <v>0</v>
      </c>
      <c r="T36" s="40">
        <v>0</v>
      </c>
      <c r="U36" s="41" t="str">
        <f>IF(M36=0,"N/A",Q36/M36-1)</f>
        <v>N/A</v>
      </c>
    </row>
    <row r="37" spans="2:21" x14ac:dyDescent="0.2">
      <c r="B37" s="30" t="s">
        <v>28</v>
      </c>
      <c r="C37" s="31">
        <v>0</v>
      </c>
      <c r="D37" s="31">
        <v>0</v>
      </c>
      <c r="E37" s="32" t="s">
        <v>22</v>
      </c>
      <c r="F37" s="32" t="s">
        <v>22</v>
      </c>
      <c r="G37" s="33" t="s">
        <v>23</v>
      </c>
      <c r="H37" s="34">
        <v>1000</v>
      </c>
      <c r="I37" s="35">
        <v>0</v>
      </c>
      <c r="J37" s="35">
        <v>0</v>
      </c>
      <c r="K37" s="36">
        <v>0</v>
      </c>
      <c r="L37" s="36">
        <v>0</v>
      </c>
      <c r="M37" s="37">
        <f>K37+L37</f>
        <v>0</v>
      </c>
      <c r="N37" s="38">
        <f>ROUND((J37*M37)/H37,2)</f>
        <v>0</v>
      </c>
      <c r="O37" s="37">
        <f>ROUND(K37*(1+S37),3)</f>
        <v>0</v>
      </c>
      <c r="P37" s="37">
        <f>ROUND(K37*T37,3)</f>
        <v>0</v>
      </c>
      <c r="Q37" s="39">
        <f>O37+P37</f>
        <v>0</v>
      </c>
      <c r="R37" s="42">
        <f>ROUND(J37*Q37/H37,2)</f>
        <v>0</v>
      </c>
      <c r="S37" s="40">
        <v>0</v>
      </c>
      <c r="T37" s="40">
        <v>0</v>
      </c>
      <c r="U37" s="41" t="str">
        <f>IF(M37=0,"N/A",Q37/M37-1)</f>
        <v>N/A</v>
      </c>
    </row>
    <row r="38" spans="2:21" x14ac:dyDescent="0.2">
      <c r="B38" s="30" t="s">
        <v>28</v>
      </c>
      <c r="C38" s="31">
        <v>0</v>
      </c>
      <c r="D38" s="31">
        <v>0</v>
      </c>
      <c r="E38" s="32" t="s">
        <v>22</v>
      </c>
      <c r="F38" s="32" t="s">
        <v>22</v>
      </c>
      <c r="G38" s="33" t="s">
        <v>23</v>
      </c>
      <c r="H38" s="34">
        <v>1000</v>
      </c>
      <c r="I38" s="35">
        <v>0</v>
      </c>
      <c r="J38" s="35">
        <v>0</v>
      </c>
      <c r="K38" s="36">
        <v>0</v>
      </c>
      <c r="L38" s="36">
        <v>0</v>
      </c>
      <c r="M38" s="37">
        <f>K38+L38</f>
        <v>0</v>
      </c>
      <c r="N38" s="38">
        <f>ROUND((J38*M38)/H38,2)</f>
        <v>0</v>
      </c>
      <c r="O38" s="37">
        <f>ROUND(K38*(1+S38),3)</f>
        <v>0</v>
      </c>
      <c r="P38" s="37">
        <f>ROUND(K38*T38,3)</f>
        <v>0</v>
      </c>
      <c r="Q38" s="39">
        <f>O38+P38</f>
        <v>0</v>
      </c>
      <c r="R38" s="42">
        <f>ROUND(J38*Q38/H38,2)</f>
        <v>0</v>
      </c>
      <c r="S38" s="40">
        <v>0</v>
      </c>
      <c r="T38" s="40">
        <v>0</v>
      </c>
      <c r="U38" s="41" t="str">
        <f>IF(M38=0,"N/A",Q38/M38-1)</f>
        <v>N/A</v>
      </c>
    </row>
    <row r="39" spans="2:21" x14ac:dyDescent="0.2">
      <c r="B39" s="43"/>
      <c r="C39" s="44"/>
      <c r="D39" s="44"/>
      <c r="E39" s="44"/>
      <c r="F39" s="44"/>
      <c r="G39" s="16"/>
      <c r="H39" s="4"/>
      <c r="I39" s="46"/>
      <c r="J39" s="46"/>
      <c r="K39" s="47"/>
      <c r="L39" s="47"/>
      <c r="M39" s="37"/>
      <c r="N39" s="67"/>
      <c r="O39" s="37"/>
      <c r="P39" s="37"/>
      <c r="Q39" s="39"/>
      <c r="R39" s="67"/>
      <c r="S39" s="48"/>
      <c r="T39" s="48"/>
      <c r="U39" s="41"/>
    </row>
    <row r="40" spans="2:21" hidden="1" x14ac:dyDescent="0.2">
      <c r="B40" s="43"/>
      <c r="C40" s="44"/>
      <c r="D40" s="44"/>
      <c r="E40" s="44"/>
      <c r="F40" s="44"/>
      <c r="G40" s="49"/>
      <c r="H40" s="4"/>
      <c r="I40" s="46"/>
      <c r="J40" s="46"/>
      <c r="K40" s="47"/>
      <c r="L40" s="47"/>
      <c r="M40" s="37"/>
      <c r="N40" s="50"/>
      <c r="O40" s="37"/>
      <c r="P40" s="37"/>
      <c r="Q40" s="37"/>
      <c r="R40" s="50"/>
      <c r="S40" s="51"/>
    </row>
    <row r="41" spans="2:21" x14ac:dyDescent="0.2">
      <c r="B41" s="33" t="str">
        <f>"Total " &amp; B32</f>
        <v>Total Optional Life</v>
      </c>
      <c r="C41" s="52"/>
      <c r="D41" s="53"/>
      <c r="E41" s="54"/>
      <c r="F41" s="54"/>
      <c r="G41" s="15"/>
      <c r="H41" s="18"/>
      <c r="I41" s="55">
        <f>SUM(I33:I40)</f>
        <v>0</v>
      </c>
      <c r="J41" s="56">
        <f>SUM(J33:J40)</f>
        <v>0</v>
      </c>
      <c r="K41" s="57"/>
      <c r="L41" s="57"/>
      <c r="M41" s="57"/>
      <c r="N41" s="38">
        <f>SUM(N33:N40)</f>
        <v>0</v>
      </c>
      <c r="O41" s="57"/>
      <c r="P41" s="57"/>
      <c r="Q41" s="57"/>
      <c r="R41" s="38">
        <f>SUM(R33:R40)</f>
        <v>0</v>
      </c>
      <c r="S41" s="48"/>
      <c r="T41" s="48"/>
      <c r="U41" s="41" t="str">
        <f>IF(N41=0,"N/A",R41/N41-1)</f>
        <v>N/A</v>
      </c>
    </row>
    <row r="42" spans="2:21" x14ac:dyDescent="0.2">
      <c r="B42" s="16"/>
      <c r="C42" s="52"/>
      <c r="D42" s="53"/>
      <c r="E42" s="54"/>
      <c r="F42" s="54"/>
      <c r="G42" s="15"/>
      <c r="H42" s="18"/>
      <c r="I42" s="58"/>
      <c r="J42" s="58"/>
      <c r="K42" s="57"/>
      <c r="L42" s="57"/>
      <c r="M42" s="57"/>
      <c r="N42" s="38"/>
      <c r="O42" s="57"/>
      <c r="P42" s="57"/>
      <c r="Q42" s="57"/>
      <c r="R42" s="38"/>
      <c r="S42" s="48"/>
      <c r="T42" s="48"/>
      <c r="U42" s="41"/>
    </row>
    <row r="43" spans="2:21" x14ac:dyDescent="0.2">
      <c r="B43" s="29" t="s">
        <v>29</v>
      </c>
      <c r="C43" s="16"/>
      <c r="D43" s="4"/>
      <c r="E43" s="4"/>
      <c r="F43" s="4"/>
      <c r="G43" s="16"/>
      <c r="H43" s="4"/>
      <c r="I43" s="28"/>
      <c r="J43" s="28"/>
      <c r="K43" s="6"/>
      <c r="L43" s="6"/>
      <c r="M43" s="6"/>
      <c r="N43" s="7"/>
      <c r="O43" s="6"/>
      <c r="P43" s="6"/>
      <c r="Q43" s="6"/>
      <c r="R43" s="7"/>
      <c r="S43" s="8"/>
    </row>
    <row r="44" spans="2:21" x14ac:dyDescent="0.2">
      <c r="B44" s="30" t="s">
        <v>30</v>
      </c>
      <c r="C44" s="31">
        <v>0</v>
      </c>
      <c r="D44" s="31">
        <v>0</v>
      </c>
      <c r="E44" s="32" t="s">
        <v>22</v>
      </c>
      <c r="F44" s="32" t="s">
        <v>22</v>
      </c>
      <c r="G44" s="33" t="s">
        <v>23</v>
      </c>
      <c r="H44" s="34">
        <v>1000</v>
      </c>
      <c r="I44" s="35">
        <v>0</v>
      </c>
      <c r="J44" s="35">
        <v>0</v>
      </c>
      <c r="K44" s="36">
        <v>0</v>
      </c>
      <c r="L44" s="36">
        <v>0</v>
      </c>
      <c r="M44" s="37">
        <f>K44+L44</f>
        <v>0</v>
      </c>
      <c r="N44" s="38">
        <f>ROUND((J44*M44)/H44,2)</f>
        <v>0</v>
      </c>
      <c r="O44" s="37">
        <f>ROUND(K44*(1+S44),3)</f>
        <v>0</v>
      </c>
      <c r="P44" s="37">
        <f>ROUND(K44*T44,3)</f>
        <v>0</v>
      </c>
      <c r="Q44" s="39">
        <f>O44+P44</f>
        <v>0</v>
      </c>
      <c r="R44" s="38">
        <f>ROUND(J44*Q44/H44,2)</f>
        <v>0</v>
      </c>
      <c r="S44" s="40">
        <v>0</v>
      </c>
      <c r="T44" s="40">
        <v>0</v>
      </c>
      <c r="U44" s="41" t="str">
        <f>IF(M44=0,"N/A",Q44/M44-1)</f>
        <v>N/A</v>
      </c>
    </row>
    <row r="45" spans="2:21" x14ac:dyDescent="0.2">
      <c r="B45" s="30" t="s">
        <v>30</v>
      </c>
      <c r="C45" s="31">
        <v>0</v>
      </c>
      <c r="D45" s="31">
        <v>0</v>
      </c>
      <c r="E45" s="32" t="s">
        <v>22</v>
      </c>
      <c r="F45" s="32" t="s">
        <v>22</v>
      </c>
      <c r="G45" s="33" t="s">
        <v>23</v>
      </c>
      <c r="H45" s="34">
        <v>1000</v>
      </c>
      <c r="I45" s="35">
        <v>0</v>
      </c>
      <c r="J45" s="35">
        <v>0</v>
      </c>
      <c r="K45" s="36">
        <v>0</v>
      </c>
      <c r="L45" s="36">
        <v>0</v>
      </c>
      <c r="M45" s="37">
        <f>K45+L45</f>
        <v>0</v>
      </c>
      <c r="N45" s="38">
        <f>ROUND((J45*M45)/H45,2)</f>
        <v>0</v>
      </c>
      <c r="O45" s="37">
        <f>ROUND(K45*(1+S45),3)</f>
        <v>0</v>
      </c>
      <c r="P45" s="37">
        <f>ROUND(K45*T45,3)</f>
        <v>0</v>
      </c>
      <c r="Q45" s="39">
        <f>O45+P45</f>
        <v>0</v>
      </c>
      <c r="R45" s="42">
        <f>ROUND(J45*Q45/H45,2)</f>
        <v>0</v>
      </c>
      <c r="S45" s="40">
        <v>0</v>
      </c>
      <c r="T45" s="40">
        <v>0</v>
      </c>
      <c r="U45" s="41" t="str">
        <f>IF(M45=0,"N/A",Q45/M45-1)</f>
        <v>N/A</v>
      </c>
    </row>
    <row r="46" spans="2:21" x14ac:dyDescent="0.2">
      <c r="B46" s="30" t="s">
        <v>30</v>
      </c>
      <c r="C46" s="31">
        <v>0</v>
      </c>
      <c r="D46" s="31">
        <v>0</v>
      </c>
      <c r="E46" s="32" t="s">
        <v>22</v>
      </c>
      <c r="F46" s="32" t="s">
        <v>22</v>
      </c>
      <c r="G46" s="33" t="s">
        <v>23</v>
      </c>
      <c r="H46" s="34">
        <v>1000</v>
      </c>
      <c r="I46" s="35">
        <v>0</v>
      </c>
      <c r="J46" s="35">
        <v>0</v>
      </c>
      <c r="K46" s="36">
        <v>0</v>
      </c>
      <c r="L46" s="36">
        <v>0</v>
      </c>
      <c r="M46" s="37">
        <f>K46+L46</f>
        <v>0</v>
      </c>
      <c r="N46" s="38">
        <f>ROUND((J46*M46)/H46,2)</f>
        <v>0</v>
      </c>
      <c r="O46" s="37">
        <f>ROUND(K46*(1+S46),3)</f>
        <v>0</v>
      </c>
      <c r="P46" s="37">
        <f>ROUND(K46*T46,3)</f>
        <v>0</v>
      </c>
      <c r="Q46" s="39">
        <f>O46+P46</f>
        <v>0</v>
      </c>
      <c r="R46" s="42">
        <f>ROUND(J46*Q46/H46,2)</f>
        <v>0</v>
      </c>
      <c r="S46" s="40">
        <v>0</v>
      </c>
      <c r="T46" s="40">
        <v>0</v>
      </c>
      <c r="U46" s="41" t="str">
        <f>IF(M46=0,"N/A",Q46/M46-1)</f>
        <v>N/A</v>
      </c>
    </row>
    <row r="47" spans="2:21" x14ac:dyDescent="0.2">
      <c r="B47" s="30" t="s">
        <v>30</v>
      </c>
      <c r="C47" s="31">
        <v>0</v>
      </c>
      <c r="D47" s="31">
        <v>0</v>
      </c>
      <c r="E47" s="32" t="s">
        <v>22</v>
      </c>
      <c r="F47" s="32" t="s">
        <v>22</v>
      </c>
      <c r="G47" s="33" t="s">
        <v>23</v>
      </c>
      <c r="H47" s="34">
        <v>1000</v>
      </c>
      <c r="I47" s="35">
        <v>0</v>
      </c>
      <c r="J47" s="35">
        <v>0</v>
      </c>
      <c r="K47" s="36">
        <v>0</v>
      </c>
      <c r="L47" s="36">
        <v>0</v>
      </c>
      <c r="M47" s="37">
        <f>K47+L47</f>
        <v>0</v>
      </c>
      <c r="N47" s="38">
        <f>ROUND((J47*M47)/H47,2)</f>
        <v>0</v>
      </c>
      <c r="O47" s="37">
        <f>ROUND(K47*(1+S47),3)</f>
        <v>0</v>
      </c>
      <c r="P47" s="37">
        <f>ROUND(K47*T47,3)</f>
        <v>0</v>
      </c>
      <c r="Q47" s="39">
        <f>O47+P47</f>
        <v>0</v>
      </c>
      <c r="R47" s="42">
        <f>ROUND(J47*Q47/H47,2)</f>
        <v>0</v>
      </c>
      <c r="S47" s="40">
        <v>0</v>
      </c>
      <c r="T47" s="40">
        <v>0</v>
      </c>
      <c r="U47" s="41" t="str">
        <f>IF(M47=0,"N/A",Q47/M47-1)</f>
        <v>N/A</v>
      </c>
    </row>
    <row r="48" spans="2:21" x14ac:dyDescent="0.2">
      <c r="B48" s="30" t="s">
        <v>30</v>
      </c>
      <c r="C48" s="31">
        <v>0</v>
      </c>
      <c r="D48" s="31">
        <v>0</v>
      </c>
      <c r="E48" s="32" t="s">
        <v>22</v>
      </c>
      <c r="F48" s="32" t="s">
        <v>22</v>
      </c>
      <c r="G48" s="33" t="s">
        <v>23</v>
      </c>
      <c r="H48" s="34">
        <v>1000</v>
      </c>
      <c r="I48" s="35">
        <v>0</v>
      </c>
      <c r="J48" s="35">
        <v>0</v>
      </c>
      <c r="K48" s="36">
        <v>0</v>
      </c>
      <c r="L48" s="36">
        <v>0</v>
      </c>
      <c r="M48" s="37">
        <f>K48+L48</f>
        <v>0</v>
      </c>
      <c r="N48" s="38">
        <f>ROUND((J48*M48)/H48,2)</f>
        <v>0</v>
      </c>
      <c r="O48" s="37">
        <f>ROUND(K48*(1+S48),3)</f>
        <v>0</v>
      </c>
      <c r="P48" s="37">
        <f>ROUND(K48*T48,3)</f>
        <v>0</v>
      </c>
      <c r="Q48" s="39">
        <f>O48+P48</f>
        <v>0</v>
      </c>
      <c r="R48" s="42">
        <f>ROUND(J48*Q48/H48,2)</f>
        <v>0</v>
      </c>
      <c r="S48" s="40">
        <v>0</v>
      </c>
      <c r="T48" s="40">
        <v>0</v>
      </c>
      <c r="U48" s="41" t="str">
        <f>IF(M48=0,"N/A",Q48/M48-1)</f>
        <v>N/A</v>
      </c>
    </row>
    <row r="49" spans="2:21" x14ac:dyDescent="0.2">
      <c r="B49" s="30" t="s">
        <v>30</v>
      </c>
      <c r="C49" s="31">
        <v>0</v>
      </c>
      <c r="D49" s="31">
        <v>0</v>
      </c>
      <c r="E49" s="32" t="s">
        <v>22</v>
      </c>
      <c r="F49" s="32" t="s">
        <v>22</v>
      </c>
      <c r="G49" s="33" t="s">
        <v>23</v>
      </c>
      <c r="H49" s="34">
        <v>1000</v>
      </c>
      <c r="I49" s="35">
        <v>0</v>
      </c>
      <c r="J49" s="35">
        <v>0</v>
      </c>
      <c r="K49" s="36">
        <v>0</v>
      </c>
      <c r="L49" s="36">
        <v>0</v>
      </c>
      <c r="M49" s="37">
        <f>K49+L49</f>
        <v>0</v>
      </c>
      <c r="N49" s="38">
        <f>ROUND((J49*M49)/H49,2)</f>
        <v>0</v>
      </c>
      <c r="O49" s="37">
        <f>ROUND(K49*(1+S49),3)</f>
        <v>0</v>
      </c>
      <c r="P49" s="37">
        <f>ROUND(K49*T49,3)</f>
        <v>0</v>
      </c>
      <c r="Q49" s="39">
        <f>O49+P49</f>
        <v>0</v>
      </c>
      <c r="R49" s="42">
        <f>ROUND(J49*Q49/H49,2)</f>
        <v>0</v>
      </c>
      <c r="S49" s="40">
        <v>0</v>
      </c>
      <c r="T49" s="40">
        <v>0</v>
      </c>
      <c r="U49" s="41" t="str">
        <f>IF(M49=0,"N/A",Q49/M49-1)</f>
        <v>N/A</v>
      </c>
    </row>
    <row r="50" spans="2:21" x14ac:dyDescent="0.2">
      <c r="B50" s="43"/>
      <c r="C50" s="44"/>
      <c r="D50" s="44"/>
      <c r="E50" s="44"/>
      <c r="F50" s="44"/>
      <c r="G50" s="16"/>
      <c r="H50" s="45"/>
      <c r="I50" s="46"/>
      <c r="J50" s="46"/>
      <c r="K50" s="47"/>
      <c r="L50" s="47"/>
      <c r="M50" s="37"/>
      <c r="N50" s="38"/>
      <c r="O50" s="37"/>
      <c r="P50" s="37"/>
      <c r="Q50" s="39"/>
      <c r="R50" s="38"/>
      <c r="S50" s="48"/>
      <c r="T50" s="48"/>
      <c r="U50" s="41"/>
    </row>
    <row r="51" spans="2:21" hidden="1" x14ac:dyDescent="0.2">
      <c r="B51" s="43"/>
      <c r="C51" s="44"/>
      <c r="D51" s="44"/>
      <c r="E51" s="44"/>
      <c r="F51" s="44"/>
      <c r="G51" s="49"/>
      <c r="H51" s="4"/>
      <c r="I51" s="46"/>
      <c r="J51" s="46"/>
      <c r="K51" s="47"/>
      <c r="L51" s="47"/>
      <c r="M51" s="37"/>
      <c r="N51" s="50"/>
      <c r="O51" s="37"/>
      <c r="P51" s="37"/>
      <c r="Q51" s="39"/>
      <c r="R51" s="50"/>
      <c r="S51" s="51"/>
    </row>
    <row r="52" spans="2:21" x14ac:dyDescent="0.2">
      <c r="B52" s="33" t="str">
        <f>"Total " &amp; B43</f>
        <v>Total Accidental Death &amp; Dismemberment</v>
      </c>
      <c r="C52" s="52"/>
      <c r="D52" s="53"/>
      <c r="E52" s="54"/>
      <c r="F52" s="54"/>
      <c r="G52" s="15"/>
      <c r="H52" s="18"/>
      <c r="I52" s="55">
        <f>SUM(I44:I51)</f>
        <v>0</v>
      </c>
      <c r="J52" s="56">
        <f>SUM(J44:J51)</f>
        <v>0</v>
      </c>
      <c r="K52" s="57"/>
      <c r="L52" s="57"/>
      <c r="M52" s="57"/>
      <c r="N52" s="38">
        <f>SUM(N44:N51)</f>
        <v>0</v>
      </c>
      <c r="O52" s="57"/>
      <c r="P52" s="57"/>
      <c r="Q52" s="57"/>
      <c r="R52" s="38">
        <f>SUM(R44:R51)</f>
        <v>0</v>
      </c>
      <c r="S52" s="48"/>
      <c r="T52" s="48"/>
      <c r="U52" s="41" t="str">
        <f>IF(N52=0,"N/A",R52/N52-1)</f>
        <v>N/A</v>
      </c>
    </row>
    <row r="53" spans="2:21" x14ac:dyDescent="0.2">
      <c r="B53" s="15"/>
      <c r="C53" s="52"/>
      <c r="D53" s="53"/>
      <c r="E53" s="54"/>
      <c r="F53" s="54"/>
      <c r="G53" s="15"/>
      <c r="H53" s="18"/>
      <c r="I53" s="58"/>
      <c r="J53" s="58"/>
      <c r="K53" s="57"/>
      <c r="L53" s="57"/>
      <c r="M53" s="57"/>
      <c r="N53" s="59"/>
      <c r="O53" s="57"/>
      <c r="P53" s="57"/>
      <c r="Q53" s="57"/>
      <c r="R53" s="59"/>
      <c r="S53" s="41"/>
    </row>
    <row r="54" spans="2:21" x14ac:dyDescent="0.2">
      <c r="B54" s="29" t="s">
        <v>31</v>
      </c>
      <c r="C54" s="66"/>
      <c r="D54" s="53"/>
      <c r="E54" s="53"/>
      <c r="F54" s="53"/>
      <c r="G54" s="16"/>
      <c r="H54" s="4"/>
      <c r="I54" s="28"/>
      <c r="J54" s="28"/>
      <c r="K54" s="6"/>
      <c r="L54" s="6"/>
      <c r="M54" s="6"/>
      <c r="N54" s="7"/>
      <c r="O54" s="6"/>
      <c r="P54" s="6"/>
      <c r="Q54" s="6"/>
      <c r="R54" s="7"/>
      <c r="S54" s="8"/>
    </row>
    <row r="55" spans="2:21" x14ac:dyDescent="0.2">
      <c r="B55" s="30" t="s">
        <v>32</v>
      </c>
      <c r="C55" s="31">
        <v>0</v>
      </c>
      <c r="D55" s="31">
        <v>0</v>
      </c>
      <c r="E55" s="32" t="s">
        <v>22</v>
      </c>
      <c r="F55" s="32" t="s">
        <v>22</v>
      </c>
      <c r="G55" s="33" t="s">
        <v>23</v>
      </c>
      <c r="H55" s="34">
        <v>100</v>
      </c>
      <c r="I55" s="68">
        <v>0</v>
      </c>
      <c r="J55" s="68">
        <v>0</v>
      </c>
      <c r="K55" s="69">
        <v>0</v>
      </c>
      <c r="L55" s="69">
        <v>0</v>
      </c>
      <c r="M55" s="37">
        <f>K55+L55</f>
        <v>0</v>
      </c>
      <c r="N55" s="67">
        <f>ROUND(IF(H55="% of Salary",J55*M55/100,J55*M55/H55),2)</f>
        <v>0</v>
      </c>
      <c r="O55" s="37">
        <f>ROUND(K55*(1+S55),3)</f>
        <v>0</v>
      </c>
      <c r="P55" s="37">
        <f>ROUND(K55*T55,3)</f>
        <v>0</v>
      </c>
      <c r="Q55" s="39">
        <f>O55+P55</f>
        <v>0</v>
      </c>
      <c r="R55" s="67">
        <f>ROUND(IF(H55="% of Salary",J55*Q55/100,J55*Q55/H55),2)</f>
        <v>0</v>
      </c>
      <c r="S55" s="40">
        <v>0</v>
      </c>
      <c r="T55" s="40">
        <v>0</v>
      </c>
      <c r="U55" s="41" t="str">
        <f>IF(M55=0,"N/A",Q55/M55-1)</f>
        <v>N/A</v>
      </c>
    </row>
    <row r="56" spans="2:21" x14ac:dyDescent="0.2">
      <c r="B56" s="30" t="s">
        <v>32</v>
      </c>
      <c r="C56" s="31">
        <v>0</v>
      </c>
      <c r="D56" s="31">
        <v>0</v>
      </c>
      <c r="E56" s="32" t="s">
        <v>22</v>
      </c>
      <c r="F56" s="32" t="s">
        <v>22</v>
      </c>
      <c r="G56" s="33" t="s">
        <v>23</v>
      </c>
      <c r="H56" s="34">
        <v>100</v>
      </c>
      <c r="I56" s="68">
        <v>0</v>
      </c>
      <c r="J56" s="68">
        <v>0</v>
      </c>
      <c r="K56" s="69">
        <v>0</v>
      </c>
      <c r="L56" s="69">
        <v>0</v>
      </c>
      <c r="M56" s="37">
        <f>K56+L56</f>
        <v>0</v>
      </c>
      <c r="N56" s="67">
        <f>ROUND(IF(H56="% of Salary",J56*M56/100,J56*M56/H56),2)</f>
        <v>0</v>
      </c>
      <c r="O56" s="37">
        <f>ROUND(K56*(1+S56),3)</f>
        <v>0</v>
      </c>
      <c r="P56" s="37">
        <f>ROUND(K56*T56,3)</f>
        <v>0</v>
      </c>
      <c r="Q56" s="39">
        <f>O56+P56</f>
        <v>0</v>
      </c>
      <c r="R56" s="70">
        <f>ROUND(IF(H56="% of Salary",J56*Q56/100,J56*Q56/H56),2)</f>
        <v>0</v>
      </c>
      <c r="S56" s="40">
        <v>0</v>
      </c>
      <c r="T56" s="40">
        <v>0</v>
      </c>
      <c r="U56" s="41" t="str">
        <f>IF(M56=0,"N/A",Q56/M56-1)</f>
        <v>N/A</v>
      </c>
    </row>
    <row r="57" spans="2:21" x14ac:dyDescent="0.2">
      <c r="B57" s="30" t="s">
        <v>32</v>
      </c>
      <c r="C57" s="31">
        <v>0</v>
      </c>
      <c r="D57" s="31">
        <v>0</v>
      </c>
      <c r="E57" s="32" t="s">
        <v>22</v>
      </c>
      <c r="F57" s="32" t="s">
        <v>22</v>
      </c>
      <c r="G57" s="33" t="s">
        <v>23</v>
      </c>
      <c r="H57" s="34">
        <v>100</v>
      </c>
      <c r="I57" s="68">
        <v>0</v>
      </c>
      <c r="J57" s="68">
        <v>0</v>
      </c>
      <c r="K57" s="69">
        <v>0</v>
      </c>
      <c r="L57" s="69">
        <v>0</v>
      </c>
      <c r="M57" s="37">
        <f>K57+L57</f>
        <v>0</v>
      </c>
      <c r="N57" s="67">
        <f>ROUND(IF(H57="% of Salary",J57*M57/100,J57*M57/H57),2)</f>
        <v>0</v>
      </c>
      <c r="O57" s="37">
        <f>ROUND(K57*(1+S57),3)</f>
        <v>0</v>
      </c>
      <c r="P57" s="37">
        <f>ROUND(K57*T57,3)</f>
        <v>0</v>
      </c>
      <c r="Q57" s="39">
        <f>O57+P57</f>
        <v>0</v>
      </c>
      <c r="R57" s="70">
        <f>ROUND(IF(H57="% of Salary",J57*Q57/100,J57*Q57/H57),2)</f>
        <v>0</v>
      </c>
      <c r="S57" s="40">
        <v>0</v>
      </c>
      <c r="T57" s="40">
        <v>0</v>
      </c>
      <c r="U57" s="41" t="str">
        <f>IF(M57=0,"N/A",Q57/M57-1)</f>
        <v>N/A</v>
      </c>
    </row>
    <row r="58" spans="2:21" x14ac:dyDescent="0.2">
      <c r="B58" s="30" t="s">
        <v>32</v>
      </c>
      <c r="C58" s="31">
        <v>0</v>
      </c>
      <c r="D58" s="31">
        <v>0</v>
      </c>
      <c r="E58" s="32" t="s">
        <v>22</v>
      </c>
      <c r="F58" s="32" t="s">
        <v>22</v>
      </c>
      <c r="G58" s="33" t="s">
        <v>23</v>
      </c>
      <c r="H58" s="34">
        <v>100</v>
      </c>
      <c r="I58" s="68">
        <v>0</v>
      </c>
      <c r="J58" s="68">
        <v>0</v>
      </c>
      <c r="K58" s="69">
        <v>0</v>
      </c>
      <c r="L58" s="69">
        <v>0</v>
      </c>
      <c r="M58" s="37">
        <f>K58+L58</f>
        <v>0</v>
      </c>
      <c r="N58" s="67">
        <f>ROUND(IF(H58="% of Salary",J58*M58/100,J58*M58/H58),2)</f>
        <v>0</v>
      </c>
      <c r="O58" s="37">
        <f>ROUND(K58*(1+S58),3)</f>
        <v>0</v>
      </c>
      <c r="P58" s="37">
        <f>ROUND(K58*T58,3)</f>
        <v>0</v>
      </c>
      <c r="Q58" s="39">
        <f>O58+P58</f>
        <v>0</v>
      </c>
      <c r="R58" s="70">
        <f>ROUND(IF(H58="% of Salary",J58*Q58/100,J58*Q58/H58),2)</f>
        <v>0</v>
      </c>
      <c r="S58" s="40">
        <v>0</v>
      </c>
      <c r="T58" s="40">
        <v>0</v>
      </c>
      <c r="U58" s="41" t="str">
        <f>IF(M58=0,"N/A",Q58/M58-1)</f>
        <v>N/A</v>
      </c>
    </row>
    <row r="59" spans="2:21" x14ac:dyDescent="0.2">
      <c r="B59" s="30" t="s">
        <v>32</v>
      </c>
      <c r="C59" s="31">
        <v>0</v>
      </c>
      <c r="D59" s="31">
        <v>0</v>
      </c>
      <c r="E59" s="32" t="s">
        <v>22</v>
      </c>
      <c r="F59" s="32" t="s">
        <v>22</v>
      </c>
      <c r="G59" s="33" t="s">
        <v>23</v>
      </c>
      <c r="H59" s="34">
        <v>100</v>
      </c>
      <c r="I59" s="68">
        <v>0</v>
      </c>
      <c r="J59" s="68">
        <v>0</v>
      </c>
      <c r="K59" s="69">
        <v>0</v>
      </c>
      <c r="L59" s="69">
        <v>0</v>
      </c>
      <c r="M59" s="37">
        <f>K59+L59</f>
        <v>0</v>
      </c>
      <c r="N59" s="67">
        <f>ROUND(IF(H59="% of Salary",J59*M59/100,J59*M59/H59),2)</f>
        <v>0</v>
      </c>
      <c r="O59" s="37">
        <f>ROUND(K59*(1+S59),3)</f>
        <v>0</v>
      </c>
      <c r="P59" s="37">
        <f>ROUND(K59*T59,3)</f>
        <v>0</v>
      </c>
      <c r="Q59" s="39">
        <f>O59+P59</f>
        <v>0</v>
      </c>
      <c r="R59" s="70">
        <f>ROUND(IF(H59="% of Salary",J59*Q59/100,J59*Q59/H59),2)</f>
        <v>0</v>
      </c>
      <c r="S59" s="40">
        <v>0</v>
      </c>
      <c r="T59" s="40">
        <v>0</v>
      </c>
      <c r="U59" s="41" t="str">
        <f>IF(M59=0,"N/A",Q59/M59-1)</f>
        <v>N/A</v>
      </c>
    </row>
    <row r="60" spans="2:21" x14ac:dyDescent="0.2">
      <c r="B60" s="30" t="s">
        <v>32</v>
      </c>
      <c r="C60" s="31">
        <v>0</v>
      </c>
      <c r="D60" s="31">
        <v>0</v>
      </c>
      <c r="E60" s="32" t="s">
        <v>22</v>
      </c>
      <c r="F60" s="32" t="s">
        <v>22</v>
      </c>
      <c r="G60" s="33" t="s">
        <v>23</v>
      </c>
      <c r="H60" s="34">
        <v>100</v>
      </c>
      <c r="I60" s="68">
        <v>0</v>
      </c>
      <c r="J60" s="68">
        <v>0</v>
      </c>
      <c r="K60" s="69">
        <v>0</v>
      </c>
      <c r="L60" s="69">
        <v>0</v>
      </c>
      <c r="M60" s="37">
        <f>K60+L60</f>
        <v>0</v>
      </c>
      <c r="N60" s="67">
        <f>ROUND(IF(H60="% of Salary",J60*M60/100,J60*M60/H60),2)</f>
        <v>0</v>
      </c>
      <c r="O60" s="37">
        <f>ROUND(K60*(1+S60),3)</f>
        <v>0</v>
      </c>
      <c r="P60" s="37">
        <f>ROUND(K60*T60,3)</f>
        <v>0</v>
      </c>
      <c r="Q60" s="39">
        <f>O60+P60</f>
        <v>0</v>
      </c>
      <c r="R60" s="67">
        <f>ROUND(IF(H60="% of Salary",J60*Q60/100,J60*Q60/H60),2)</f>
        <v>0</v>
      </c>
      <c r="S60" s="40">
        <v>0</v>
      </c>
      <c r="T60" s="40">
        <v>0</v>
      </c>
      <c r="U60" s="41" t="str">
        <f>IF(M60=0,"N/A",Q60/M60-1)</f>
        <v>N/A</v>
      </c>
    </row>
    <row r="61" spans="2:21" x14ac:dyDescent="0.2">
      <c r="B61" s="43"/>
      <c r="C61" s="44"/>
      <c r="D61" s="44"/>
      <c r="E61" s="44"/>
      <c r="F61" s="44"/>
      <c r="G61" s="16"/>
      <c r="H61" s="71"/>
      <c r="I61" s="72"/>
      <c r="J61" s="72"/>
      <c r="K61" s="73"/>
      <c r="L61" s="73"/>
      <c r="M61" s="37"/>
      <c r="N61" s="67"/>
      <c r="O61" s="37"/>
      <c r="P61" s="37"/>
      <c r="Q61" s="39"/>
      <c r="R61" s="67"/>
      <c r="S61" s="48"/>
      <c r="T61" s="48"/>
      <c r="U61" s="41"/>
    </row>
    <row r="62" spans="2:21" hidden="1" x14ac:dyDescent="0.2">
      <c r="B62" s="43"/>
      <c r="C62" s="44"/>
      <c r="D62" s="44"/>
      <c r="E62" s="44"/>
      <c r="F62" s="44"/>
      <c r="G62" s="16"/>
      <c r="H62" s="71"/>
      <c r="I62" s="72"/>
      <c r="J62" s="72"/>
      <c r="K62" s="73"/>
      <c r="L62" s="73"/>
      <c r="M62" s="37"/>
      <c r="N62" s="50"/>
      <c r="O62" s="37"/>
      <c r="P62" s="37"/>
      <c r="Q62" s="39"/>
      <c r="R62" s="50"/>
      <c r="S62" s="51"/>
    </row>
    <row r="63" spans="2:21" x14ac:dyDescent="0.2">
      <c r="B63" s="33" t="str">
        <f>"Total " &amp; B54</f>
        <v>Total Long Term Disability</v>
      </c>
      <c r="C63" s="52"/>
      <c r="D63" s="53"/>
      <c r="E63" s="54"/>
      <c r="F63" s="54"/>
      <c r="G63" s="15"/>
      <c r="H63" s="18"/>
      <c r="I63" s="55">
        <f>SUM(I55:I62)</f>
        <v>0</v>
      </c>
      <c r="J63" s="56">
        <f>SUM(J55:J62)</f>
        <v>0</v>
      </c>
      <c r="K63" s="57"/>
      <c r="L63" s="57"/>
      <c r="M63" s="57"/>
      <c r="N63" s="38">
        <f>SUM(N55:N62)</f>
        <v>0</v>
      </c>
      <c r="O63" s="57"/>
      <c r="P63" s="57"/>
      <c r="Q63" s="57"/>
      <c r="R63" s="38">
        <f>SUM(R55:R62)</f>
        <v>0</v>
      </c>
      <c r="S63" s="48"/>
      <c r="T63" s="48"/>
      <c r="U63" s="41" t="str">
        <f>IF(N63=0,"N/A",R63/N63-1)</f>
        <v>N/A</v>
      </c>
    </row>
    <row r="64" spans="2:21" x14ac:dyDescent="0.2">
      <c r="B64" s="16"/>
      <c r="C64" s="52"/>
      <c r="D64" s="53"/>
      <c r="E64" s="54"/>
      <c r="F64" s="54"/>
      <c r="G64" s="15"/>
      <c r="H64" s="18"/>
      <c r="I64" s="58"/>
      <c r="J64" s="58"/>
      <c r="K64" s="57"/>
      <c r="L64" s="57"/>
      <c r="M64" s="57"/>
      <c r="N64" s="38"/>
      <c r="O64" s="57"/>
      <c r="P64" s="57"/>
      <c r="Q64" s="57"/>
      <c r="R64" s="38"/>
      <c r="S64" s="48"/>
      <c r="T64" s="48"/>
    </row>
    <row r="65" spans="2:21" x14ac:dyDescent="0.2">
      <c r="B65" s="29" t="s">
        <v>33</v>
      </c>
      <c r="C65" s="52"/>
      <c r="D65" s="53"/>
      <c r="E65" s="54"/>
      <c r="F65" s="54"/>
      <c r="G65" s="15"/>
      <c r="H65" s="18"/>
      <c r="I65" s="58"/>
      <c r="J65" s="58"/>
      <c r="K65" s="57"/>
      <c r="L65" s="57"/>
      <c r="M65" s="57"/>
      <c r="N65" s="59"/>
      <c r="O65" s="57"/>
      <c r="P65" s="57"/>
      <c r="Q65" s="57"/>
      <c r="R65" s="59"/>
      <c r="S65" s="41"/>
    </row>
    <row r="66" spans="2:21" x14ac:dyDescent="0.2">
      <c r="B66" s="60" t="s">
        <v>34</v>
      </c>
      <c r="C66" s="31">
        <v>0</v>
      </c>
      <c r="D66" s="31">
        <v>0</v>
      </c>
      <c r="E66" s="32" t="s">
        <v>22</v>
      </c>
      <c r="F66" s="32" t="s">
        <v>22</v>
      </c>
      <c r="G66" s="33" t="s">
        <v>23</v>
      </c>
      <c r="H66" s="34">
        <v>10</v>
      </c>
      <c r="I66" s="61">
        <v>0</v>
      </c>
      <c r="J66" s="61">
        <v>0</v>
      </c>
      <c r="K66" s="74">
        <v>0</v>
      </c>
      <c r="L66" s="74">
        <v>0</v>
      </c>
      <c r="M66" s="37">
        <f>K66+L66</f>
        <v>0</v>
      </c>
      <c r="N66" s="38">
        <f>ROUND(M66*J66/H66,2)</f>
        <v>0</v>
      </c>
      <c r="O66" s="37">
        <f>ROUND(K66*(1+S66),3)</f>
        <v>0</v>
      </c>
      <c r="P66" s="37">
        <f>ROUND(K66*T66,3)</f>
        <v>0</v>
      </c>
      <c r="Q66" s="39">
        <f>O66+P66</f>
        <v>0</v>
      </c>
      <c r="R66" s="38">
        <f>ROUND(J66*Q66/H66,2)</f>
        <v>0</v>
      </c>
      <c r="S66" s="40">
        <v>0</v>
      </c>
      <c r="T66" s="40">
        <v>0</v>
      </c>
      <c r="U66" s="41" t="str">
        <f>IF(M66=0,"N/A",Q66/M66-1)</f>
        <v>N/A</v>
      </c>
    </row>
    <row r="67" spans="2:21" x14ac:dyDescent="0.2">
      <c r="B67" s="60" t="s">
        <v>34</v>
      </c>
      <c r="C67" s="31">
        <v>0</v>
      </c>
      <c r="D67" s="31">
        <v>0</v>
      </c>
      <c r="E67" s="32" t="s">
        <v>22</v>
      </c>
      <c r="F67" s="32" t="s">
        <v>22</v>
      </c>
      <c r="G67" s="33" t="s">
        <v>23</v>
      </c>
      <c r="H67" s="34">
        <v>10</v>
      </c>
      <c r="I67" s="61">
        <v>0</v>
      </c>
      <c r="J67" s="61">
        <v>0</v>
      </c>
      <c r="K67" s="74">
        <v>0</v>
      </c>
      <c r="L67" s="74">
        <v>0</v>
      </c>
      <c r="M67" s="37">
        <f>K67+L67</f>
        <v>0</v>
      </c>
      <c r="N67" s="38">
        <f>ROUND(M67*J67/H67,2)</f>
        <v>0</v>
      </c>
      <c r="O67" s="37">
        <f>ROUND(K67*(1+S67),3)</f>
        <v>0</v>
      </c>
      <c r="P67" s="37">
        <f>ROUND(K67*T67,3)</f>
        <v>0</v>
      </c>
      <c r="Q67" s="39">
        <f>O67+P67</f>
        <v>0</v>
      </c>
      <c r="R67" s="42">
        <f>ROUND(J67*Q67/H67,2)</f>
        <v>0</v>
      </c>
      <c r="S67" s="40">
        <v>0</v>
      </c>
      <c r="T67" s="40">
        <v>0</v>
      </c>
      <c r="U67" s="41" t="str">
        <f>IF(M67=0,"N/A",Q67/M67-1)</f>
        <v>N/A</v>
      </c>
    </row>
    <row r="68" spans="2:21" x14ac:dyDescent="0.2">
      <c r="B68" s="60" t="s">
        <v>34</v>
      </c>
      <c r="C68" s="31">
        <v>0</v>
      </c>
      <c r="D68" s="31">
        <v>0</v>
      </c>
      <c r="E68" s="32" t="s">
        <v>22</v>
      </c>
      <c r="F68" s="32" t="s">
        <v>22</v>
      </c>
      <c r="G68" s="33" t="s">
        <v>23</v>
      </c>
      <c r="H68" s="34">
        <v>10</v>
      </c>
      <c r="I68" s="61">
        <v>0</v>
      </c>
      <c r="J68" s="61">
        <v>0</v>
      </c>
      <c r="K68" s="74">
        <v>0</v>
      </c>
      <c r="L68" s="74">
        <v>0</v>
      </c>
      <c r="M68" s="37">
        <f>K68+L68</f>
        <v>0</v>
      </c>
      <c r="N68" s="38">
        <f>ROUND(M68*J68/H68,2)</f>
        <v>0</v>
      </c>
      <c r="O68" s="37">
        <f>ROUND(K68*(1+S68),3)</f>
        <v>0</v>
      </c>
      <c r="P68" s="37">
        <f>ROUND(K68*T68,3)</f>
        <v>0</v>
      </c>
      <c r="Q68" s="39">
        <f>O68+P68</f>
        <v>0</v>
      </c>
      <c r="R68" s="38">
        <f>ROUND(J68*Q68/H68,2)</f>
        <v>0</v>
      </c>
      <c r="S68" s="40">
        <v>0</v>
      </c>
      <c r="T68" s="40">
        <v>0</v>
      </c>
      <c r="U68" s="41" t="str">
        <f>IF(M68=0,"N/A",Q68/M68-1)</f>
        <v>N/A</v>
      </c>
    </row>
    <row r="69" spans="2:21" x14ac:dyDescent="0.2">
      <c r="B69" s="60" t="s">
        <v>34</v>
      </c>
      <c r="C69" s="31">
        <v>0</v>
      </c>
      <c r="D69" s="31">
        <v>0</v>
      </c>
      <c r="E69" s="32" t="s">
        <v>22</v>
      </c>
      <c r="F69" s="32" t="s">
        <v>22</v>
      </c>
      <c r="G69" s="33" t="s">
        <v>23</v>
      </c>
      <c r="H69" s="34">
        <v>10</v>
      </c>
      <c r="I69" s="61">
        <v>0</v>
      </c>
      <c r="J69" s="61">
        <v>0</v>
      </c>
      <c r="K69" s="74">
        <v>0</v>
      </c>
      <c r="L69" s="74">
        <v>0</v>
      </c>
      <c r="M69" s="37">
        <f>K69+L69</f>
        <v>0</v>
      </c>
      <c r="N69" s="38">
        <f>ROUND(M69*J69/H69,2)</f>
        <v>0</v>
      </c>
      <c r="O69" s="37">
        <f>ROUND(K69*(1+S69),3)</f>
        <v>0</v>
      </c>
      <c r="P69" s="37">
        <f>ROUND(K69*T69,3)</f>
        <v>0</v>
      </c>
      <c r="Q69" s="39">
        <f>O69+P69</f>
        <v>0</v>
      </c>
      <c r="R69" s="38">
        <f>ROUND(J69*Q69/H69,2)</f>
        <v>0</v>
      </c>
      <c r="S69" s="40">
        <v>0</v>
      </c>
      <c r="T69" s="40">
        <v>0</v>
      </c>
      <c r="U69" s="41" t="str">
        <f>IF(M69=0,"N/A",Q69/M69-1)</f>
        <v>N/A</v>
      </c>
    </row>
    <row r="70" spans="2:21" x14ac:dyDescent="0.2">
      <c r="B70" s="60" t="s">
        <v>34</v>
      </c>
      <c r="C70" s="31">
        <v>0</v>
      </c>
      <c r="D70" s="31">
        <v>0</v>
      </c>
      <c r="E70" s="32" t="s">
        <v>22</v>
      </c>
      <c r="F70" s="32" t="s">
        <v>22</v>
      </c>
      <c r="G70" s="33" t="s">
        <v>23</v>
      </c>
      <c r="H70" s="34">
        <v>10</v>
      </c>
      <c r="I70" s="61">
        <v>0</v>
      </c>
      <c r="J70" s="61">
        <v>0</v>
      </c>
      <c r="K70" s="74">
        <v>0</v>
      </c>
      <c r="L70" s="74">
        <v>0</v>
      </c>
      <c r="M70" s="37">
        <f>K70+L70</f>
        <v>0</v>
      </c>
      <c r="N70" s="38">
        <f>ROUND(M70*J70/H70,2)</f>
        <v>0</v>
      </c>
      <c r="O70" s="37">
        <f>ROUND(K70*(1+S70),3)</f>
        <v>0</v>
      </c>
      <c r="P70" s="37">
        <f>ROUND(K70*T70,3)</f>
        <v>0</v>
      </c>
      <c r="Q70" s="39">
        <f>O70+P70</f>
        <v>0</v>
      </c>
      <c r="R70" s="42">
        <f>ROUND(J70*Q70/H70,2)</f>
        <v>0</v>
      </c>
      <c r="S70" s="40">
        <v>0</v>
      </c>
      <c r="T70" s="40">
        <v>0</v>
      </c>
      <c r="U70" s="41" t="str">
        <f>IF(M70=0,"N/A",Q70/M70-1)</f>
        <v>N/A</v>
      </c>
    </row>
    <row r="71" spans="2:21" x14ac:dyDescent="0.2">
      <c r="B71" s="60" t="s">
        <v>34</v>
      </c>
      <c r="C71" s="31">
        <v>0</v>
      </c>
      <c r="D71" s="31">
        <v>0</v>
      </c>
      <c r="E71" s="32" t="s">
        <v>22</v>
      </c>
      <c r="F71" s="32" t="s">
        <v>22</v>
      </c>
      <c r="G71" s="33" t="s">
        <v>23</v>
      </c>
      <c r="H71" s="34">
        <v>10</v>
      </c>
      <c r="I71" s="61">
        <v>0</v>
      </c>
      <c r="J71" s="61">
        <v>0</v>
      </c>
      <c r="K71" s="74">
        <v>0</v>
      </c>
      <c r="L71" s="74">
        <v>0</v>
      </c>
      <c r="M71" s="37">
        <f>K71+L71</f>
        <v>0</v>
      </c>
      <c r="N71" s="38">
        <f>ROUND(M71*J71/H71,2)</f>
        <v>0</v>
      </c>
      <c r="O71" s="37">
        <f>ROUND(K71*(1+S71),3)</f>
        <v>0</v>
      </c>
      <c r="P71" s="37">
        <f>ROUND(K71*T71,3)</f>
        <v>0</v>
      </c>
      <c r="Q71" s="39">
        <f>O71+P71</f>
        <v>0</v>
      </c>
      <c r="R71" s="42">
        <f>ROUND(J71*Q71/H71,2)</f>
        <v>0</v>
      </c>
      <c r="S71" s="40">
        <v>0</v>
      </c>
      <c r="T71" s="40">
        <v>0</v>
      </c>
      <c r="U71" s="41" t="str">
        <f>IF(M71=0,"N/A",Q71/M71-1)</f>
        <v>N/A</v>
      </c>
    </row>
    <row r="72" spans="2:21" x14ac:dyDescent="0.2">
      <c r="B72" s="4"/>
      <c r="C72" s="44"/>
      <c r="D72" s="44"/>
      <c r="E72" s="44"/>
      <c r="F72" s="44"/>
      <c r="G72" s="16"/>
      <c r="H72" s="45"/>
      <c r="I72" s="62"/>
      <c r="J72" s="62"/>
      <c r="K72" s="75"/>
      <c r="L72" s="63"/>
      <c r="M72" s="37"/>
      <c r="N72" s="38"/>
      <c r="O72" s="37"/>
      <c r="P72" s="37"/>
      <c r="Q72" s="39"/>
      <c r="R72" s="38"/>
      <c r="S72" s="48"/>
      <c r="T72" s="48"/>
      <c r="U72" s="41"/>
    </row>
    <row r="73" spans="2:21" hidden="1" x14ac:dyDescent="0.2">
      <c r="B73" s="4"/>
      <c r="C73" s="44"/>
      <c r="D73" s="44"/>
      <c r="E73" s="44"/>
      <c r="F73" s="44"/>
      <c r="G73" s="16"/>
      <c r="H73" s="71"/>
      <c r="I73" s="62"/>
      <c r="J73" s="62"/>
      <c r="K73" s="75"/>
      <c r="L73" s="63"/>
      <c r="M73" s="37"/>
      <c r="N73" s="50"/>
      <c r="O73" s="37"/>
      <c r="P73" s="76"/>
      <c r="Q73" s="39"/>
      <c r="R73" s="50"/>
      <c r="S73" s="51"/>
    </row>
    <row r="74" spans="2:21" x14ac:dyDescent="0.2">
      <c r="B74" s="33" t="str">
        <f>"Total " &amp; B65</f>
        <v>Total Short Term Absence</v>
      </c>
      <c r="C74" s="52"/>
      <c r="D74" s="53"/>
      <c r="E74" s="54"/>
      <c r="F74" s="54"/>
      <c r="G74" s="15"/>
      <c r="H74" s="71"/>
      <c r="I74" s="55">
        <f>SUM(I66:I73)</f>
        <v>0</v>
      </c>
      <c r="J74" s="56">
        <f>SUM(J66:J73)</f>
        <v>0</v>
      </c>
      <c r="K74" s="57"/>
      <c r="L74" s="57"/>
      <c r="M74" s="57"/>
      <c r="N74" s="38">
        <f>SUM(N66:N73)</f>
        <v>0</v>
      </c>
      <c r="O74" s="57"/>
      <c r="P74" s="57"/>
      <c r="Q74" s="57"/>
      <c r="R74" s="38">
        <f>SUM(R66:R73)</f>
        <v>0</v>
      </c>
      <c r="S74" s="48"/>
      <c r="T74" s="48"/>
      <c r="U74" s="41" t="str">
        <f>IF(N74=0,"N/A",R74/N74-1)</f>
        <v>N/A</v>
      </c>
    </row>
    <row r="75" spans="2:21" x14ac:dyDescent="0.2">
      <c r="B75" s="16"/>
      <c r="C75" s="52"/>
      <c r="D75" s="53"/>
      <c r="E75" s="54"/>
      <c r="F75" s="54"/>
      <c r="G75" s="15"/>
      <c r="H75" s="71"/>
      <c r="I75" s="58"/>
      <c r="J75" s="58"/>
      <c r="K75" s="57"/>
      <c r="L75" s="57"/>
      <c r="M75" s="57"/>
      <c r="N75" s="38"/>
      <c r="O75" s="57"/>
      <c r="P75" s="57"/>
      <c r="Q75" s="57"/>
      <c r="R75" s="38"/>
      <c r="S75" s="48"/>
      <c r="T75" s="48"/>
      <c r="U75" s="41"/>
    </row>
    <row r="76" spans="2:21" x14ac:dyDescent="0.2">
      <c r="B76" s="29" t="s">
        <v>35</v>
      </c>
      <c r="C76" s="66"/>
      <c r="D76" s="53"/>
      <c r="E76" s="53"/>
      <c r="F76" s="53"/>
      <c r="G76" s="16"/>
      <c r="H76" s="71"/>
      <c r="I76" s="28"/>
      <c r="J76" s="28"/>
      <c r="K76" s="6"/>
      <c r="L76" s="6"/>
      <c r="M76" s="6"/>
      <c r="N76" s="7"/>
      <c r="O76" s="6"/>
      <c r="P76" s="6"/>
      <c r="Q76" s="6"/>
      <c r="R76" s="7"/>
      <c r="S76" s="8"/>
    </row>
    <row r="77" spans="2:21" x14ac:dyDescent="0.2">
      <c r="B77" s="60" t="s">
        <v>36</v>
      </c>
      <c r="C77" s="31">
        <v>0</v>
      </c>
      <c r="D77" s="32" t="s">
        <v>22</v>
      </c>
      <c r="E77" s="32" t="s">
        <v>22</v>
      </c>
      <c r="F77" s="32" t="s">
        <v>22</v>
      </c>
      <c r="G77" s="77"/>
      <c r="H77" s="32" t="s">
        <v>37</v>
      </c>
      <c r="I77" s="61">
        <v>0</v>
      </c>
      <c r="J77" s="61"/>
      <c r="K77" s="78">
        <v>0</v>
      </c>
      <c r="L77" s="79">
        <v>0</v>
      </c>
      <c r="M77" s="64">
        <f>K77+L77</f>
        <v>0</v>
      </c>
      <c r="N77" s="67">
        <f>ROUND(M77*I77,2)</f>
        <v>0</v>
      </c>
      <c r="O77" s="64">
        <f>ROUND(K77*(1+S77),2)</f>
        <v>0</v>
      </c>
      <c r="P77" s="64">
        <f>ROUND(K77*T77,2)</f>
        <v>0</v>
      </c>
      <c r="Q77" s="80">
        <f>O77+P77</f>
        <v>0</v>
      </c>
      <c r="R77" s="67">
        <f>ROUND(Q77*I77,2)</f>
        <v>0</v>
      </c>
      <c r="S77" s="40">
        <v>0</v>
      </c>
      <c r="T77" s="40">
        <v>0</v>
      </c>
      <c r="U77" s="41" t="str">
        <f>IF(M77=0,"N/A",Q77/M77-1)</f>
        <v>N/A</v>
      </c>
    </row>
    <row r="78" spans="2:21" x14ac:dyDescent="0.2">
      <c r="B78" s="60" t="s">
        <v>36</v>
      </c>
      <c r="C78" s="31">
        <v>0</v>
      </c>
      <c r="D78" s="32" t="s">
        <v>22</v>
      </c>
      <c r="E78" s="32" t="s">
        <v>22</v>
      </c>
      <c r="F78" s="32" t="s">
        <v>22</v>
      </c>
      <c r="G78" s="77"/>
      <c r="H78" s="32" t="s">
        <v>38</v>
      </c>
      <c r="I78" s="61">
        <v>0</v>
      </c>
      <c r="J78" s="61"/>
      <c r="K78" s="78">
        <v>0</v>
      </c>
      <c r="L78" s="79">
        <v>0</v>
      </c>
      <c r="M78" s="64">
        <f>K78+L78</f>
        <v>0</v>
      </c>
      <c r="N78" s="67">
        <f>ROUND(M78*I78,2)</f>
        <v>0</v>
      </c>
      <c r="O78" s="64">
        <f>ROUND(K78*(1+S78),2)</f>
        <v>0</v>
      </c>
      <c r="P78" s="64">
        <f>ROUND(K78*T78,2)</f>
        <v>0</v>
      </c>
      <c r="Q78" s="80">
        <f>O78+P78</f>
        <v>0</v>
      </c>
      <c r="R78" s="67">
        <f>ROUND(Q78*I78,2)</f>
        <v>0</v>
      </c>
      <c r="S78" s="40">
        <v>0</v>
      </c>
      <c r="T78" s="40">
        <v>0</v>
      </c>
      <c r="U78" s="41" t="str">
        <f>IF(M78=0,"N/A",Q78/M78-1)</f>
        <v>N/A</v>
      </c>
    </row>
    <row r="79" spans="2:21" x14ac:dyDescent="0.2">
      <c r="B79" s="60" t="s">
        <v>36</v>
      </c>
      <c r="C79" s="31">
        <v>0</v>
      </c>
      <c r="D79" s="32" t="s">
        <v>22</v>
      </c>
      <c r="E79" s="32" t="s">
        <v>22</v>
      </c>
      <c r="F79" s="32" t="s">
        <v>22</v>
      </c>
      <c r="G79" s="77"/>
      <c r="H79" s="32" t="s">
        <v>37</v>
      </c>
      <c r="I79" s="61">
        <v>0</v>
      </c>
      <c r="J79" s="61"/>
      <c r="K79" s="78">
        <v>0</v>
      </c>
      <c r="L79" s="79">
        <v>0</v>
      </c>
      <c r="M79" s="64">
        <f>K79+L79</f>
        <v>0</v>
      </c>
      <c r="N79" s="67">
        <f>ROUND(M79*I79,2)</f>
        <v>0</v>
      </c>
      <c r="O79" s="64">
        <f>ROUND(K79*(1+S79),2)</f>
        <v>0</v>
      </c>
      <c r="P79" s="64">
        <f>ROUND(K79*T79,2)</f>
        <v>0</v>
      </c>
      <c r="Q79" s="80">
        <f>O79+P79</f>
        <v>0</v>
      </c>
      <c r="R79" s="67">
        <f>ROUND(Q79*I79,2)</f>
        <v>0</v>
      </c>
      <c r="S79" s="40">
        <v>0</v>
      </c>
      <c r="T79" s="40">
        <v>0</v>
      </c>
      <c r="U79" s="41" t="str">
        <f>IF(M79=0,"N/A",Q79/M79-1)</f>
        <v>N/A</v>
      </c>
    </row>
    <row r="80" spans="2:21" x14ac:dyDescent="0.2">
      <c r="B80" s="60" t="s">
        <v>36</v>
      </c>
      <c r="C80" s="31">
        <v>0</v>
      </c>
      <c r="D80" s="32" t="s">
        <v>22</v>
      </c>
      <c r="E80" s="32" t="s">
        <v>22</v>
      </c>
      <c r="F80" s="32" t="s">
        <v>22</v>
      </c>
      <c r="G80" s="77"/>
      <c r="H80" s="32" t="s">
        <v>38</v>
      </c>
      <c r="I80" s="61">
        <v>0</v>
      </c>
      <c r="J80" s="61"/>
      <c r="K80" s="78">
        <v>0</v>
      </c>
      <c r="L80" s="79">
        <v>0</v>
      </c>
      <c r="M80" s="64">
        <f>K80+L80</f>
        <v>0</v>
      </c>
      <c r="N80" s="67">
        <f>ROUND(M80*I80,2)</f>
        <v>0</v>
      </c>
      <c r="O80" s="64">
        <f>ROUND(K80*(1+S80),2)</f>
        <v>0</v>
      </c>
      <c r="P80" s="64">
        <f>ROUND(K80*T80,2)</f>
        <v>0</v>
      </c>
      <c r="Q80" s="80">
        <f>O80+P80</f>
        <v>0</v>
      </c>
      <c r="R80" s="67">
        <f>ROUND(Q80*I80,2)</f>
        <v>0</v>
      </c>
      <c r="S80" s="40">
        <v>0</v>
      </c>
      <c r="T80" s="40">
        <v>0</v>
      </c>
      <c r="U80" s="41" t="str">
        <f>IF(M80=0,"N/A",Q80/M80-1)</f>
        <v>N/A</v>
      </c>
    </row>
    <row r="81" spans="2:21" x14ac:dyDescent="0.2">
      <c r="B81" s="60" t="s">
        <v>36</v>
      </c>
      <c r="C81" s="31">
        <v>0</v>
      </c>
      <c r="D81" s="32" t="s">
        <v>22</v>
      </c>
      <c r="E81" s="32" t="s">
        <v>22</v>
      </c>
      <c r="F81" s="32" t="s">
        <v>22</v>
      </c>
      <c r="G81" s="77"/>
      <c r="H81" s="32" t="s">
        <v>37</v>
      </c>
      <c r="I81" s="61">
        <v>0</v>
      </c>
      <c r="J81" s="61"/>
      <c r="K81" s="78">
        <v>0</v>
      </c>
      <c r="L81" s="79">
        <v>0</v>
      </c>
      <c r="M81" s="64">
        <f>K81+L81</f>
        <v>0</v>
      </c>
      <c r="N81" s="67">
        <f>ROUND(M81*I81,2)</f>
        <v>0</v>
      </c>
      <c r="O81" s="64">
        <f>ROUND(K81*(1+S81),2)</f>
        <v>0</v>
      </c>
      <c r="P81" s="64">
        <f>ROUND(K81*T81,2)</f>
        <v>0</v>
      </c>
      <c r="Q81" s="80">
        <f>O81+P81</f>
        <v>0</v>
      </c>
      <c r="R81" s="67">
        <f>ROUND(Q81*I81,2)</f>
        <v>0</v>
      </c>
      <c r="S81" s="40">
        <v>0</v>
      </c>
      <c r="T81" s="40">
        <v>0</v>
      </c>
      <c r="U81" s="41" t="str">
        <f>IF(M81=0,"N/A",Q81/M81-1)</f>
        <v>N/A</v>
      </c>
    </row>
    <row r="82" spans="2:21" x14ac:dyDescent="0.2">
      <c r="B82" s="60" t="s">
        <v>36</v>
      </c>
      <c r="C82" s="31">
        <v>0</v>
      </c>
      <c r="D82" s="32" t="s">
        <v>22</v>
      </c>
      <c r="E82" s="32" t="s">
        <v>22</v>
      </c>
      <c r="F82" s="32" t="s">
        <v>22</v>
      </c>
      <c r="G82" s="77"/>
      <c r="H82" s="32" t="s">
        <v>38</v>
      </c>
      <c r="I82" s="61">
        <v>0</v>
      </c>
      <c r="J82" s="61"/>
      <c r="K82" s="78">
        <v>0</v>
      </c>
      <c r="L82" s="79">
        <v>0</v>
      </c>
      <c r="M82" s="64">
        <f>K82+L82</f>
        <v>0</v>
      </c>
      <c r="N82" s="67">
        <f>ROUND(M82*I82,2)</f>
        <v>0</v>
      </c>
      <c r="O82" s="64">
        <f>ROUND(K82*(1+S82),2)</f>
        <v>0</v>
      </c>
      <c r="P82" s="64">
        <f>ROUND(K82*T82,2)</f>
        <v>0</v>
      </c>
      <c r="Q82" s="80">
        <f>O82+P82</f>
        <v>0</v>
      </c>
      <c r="R82" s="67">
        <f>ROUND(Q82*I82,2)</f>
        <v>0</v>
      </c>
      <c r="S82" s="40">
        <v>0</v>
      </c>
      <c r="T82" s="40">
        <v>0</v>
      </c>
      <c r="U82" s="41" t="str">
        <f>IF(M82=0,"N/A",Q82/M82-1)</f>
        <v>N/A</v>
      </c>
    </row>
    <row r="83" spans="2:21" x14ac:dyDescent="0.2">
      <c r="B83" s="60" t="s">
        <v>36</v>
      </c>
      <c r="C83" s="31">
        <v>0</v>
      </c>
      <c r="D83" s="32" t="s">
        <v>22</v>
      </c>
      <c r="E83" s="32" t="s">
        <v>22</v>
      </c>
      <c r="F83" s="32" t="s">
        <v>22</v>
      </c>
      <c r="G83" s="77"/>
      <c r="H83" s="32" t="s">
        <v>37</v>
      </c>
      <c r="I83" s="61">
        <v>0</v>
      </c>
      <c r="J83" s="61"/>
      <c r="K83" s="78">
        <v>0</v>
      </c>
      <c r="L83" s="79">
        <v>0</v>
      </c>
      <c r="M83" s="64">
        <f>K83+L83</f>
        <v>0</v>
      </c>
      <c r="N83" s="67">
        <f>ROUND(M83*I83,2)</f>
        <v>0</v>
      </c>
      <c r="O83" s="64">
        <f>ROUND(K83*(1+S83),2)</f>
        <v>0</v>
      </c>
      <c r="P83" s="64">
        <f>ROUND(K83*T83,2)</f>
        <v>0</v>
      </c>
      <c r="Q83" s="80">
        <f>O83+P83</f>
        <v>0</v>
      </c>
      <c r="R83" s="67">
        <f>ROUND(Q83*I83,2)</f>
        <v>0</v>
      </c>
      <c r="S83" s="40">
        <v>0</v>
      </c>
      <c r="T83" s="40">
        <v>0</v>
      </c>
      <c r="U83" s="41" t="str">
        <f>IF(M83=0,"N/A",Q83/M83-1)</f>
        <v>N/A</v>
      </c>
    </row>
    <row r="84" spans="2:21" x14ac:dyDescent="0.2">
      <c r="B84" s="60" t="s">
        <v>36</v>
      </c>
      <c r="C84" s="31">
        <v>0</v>
      </c>
      <c r="D84" s="32" t="s">
        <v>22</v>
      </c>
      <c r="E84" s="32" t="s">
        <v>22</v>
      </c>
      <c r="F84" s="32" t="s">
        <v>22</v>
      </c>
      <c r="G84" s="77"/>
      <c r="H84" s="32" t="s">
        <v>38</v>
      </c>
      <c r="I84" s="61">
        <v>0</v>
      </c>
      <c r="J84" s="61"/>
      <c r="K84" s="78">
        <v>0</v>
      </c>
      <c r="L84" s="79">
        <v>0</v>
      </c>
      <c r="M84" s="64">
        <f>K84+L84</f>
        <v>0</v>
      </c>
      <c r="N84" s="67">
        <f>ROUND(M84*I84,2)</f>
        <v>0</v>
      </c>
      <c r="O84" s="64">
        <f>ROUND(K84*(1+S84),2)</f>
        <v>0</v>
      </c>
      <c r="P84" s="64">
        <f>ROUND(K84*T84,2)</f>
        <v>0</v>
      </c>
      <c r="Q84" s="80">
        <f>O84+P84</f>
        <v>0</v>
      </c>
      <c r="R84" s="67">
        <f>ROUND(Q84*I84,2)</f>
        <v>0</v>
      </c>
      <c r="S84" s="40">
        <v>0</v>
      </c>
      <c r="T84" s="40">
        <v>0</v>
      </c>
      <c r="U84" s="41" t="str">
        <f>IF(M84=0,"N/A",Q84/M84-1)</f>
        <v>N/A</v>
      </c>
    </row>
    <row r="85" spans="2:21" x14ac:dyDescent="0.2">
      <c r="B85" s="60" t="s">
        <v>36</v>
      </c>
      <c r="C85" s="31">
        <v>0</v>
      </c>
      <c r="D85" s="32" t="s">
        <v>22</v>
      </c>
      <c r="E85" s="32" t="s">
        <v>22</v>
      </c>
      <c r="F85" s="32" t="s">
        <v>22</v>
      </c>
      <c r="G85" s="77"/>
      <c r="H85" s="32" t="s">
        <v>37</v>
      </c>
      <c r="I85" s="61">
        <v>0</v>
      </c>
      <c r="J85" s="61"/>
      <c r="K85" s="78">
        <v>0</v>
      </c>
      <c r="L85" s="79">
        <v>0</v>
      </c>
      <c r="M85" s="64">
        <f>K85+L85</f>
        <v>0</v>
      </c>
      <c r="N85" s="67">
        <f>ROUND(M85*I85,2)</f>
        <v>0</v>
      </c>
      <c r="O85" s="64">
        <f>ROUND(K85*(1+S85),2)</f>
        <v>0</v>
      </c>
      <c r="P85" s="64">
        <f>ROUND(K85*T85,2)</f>
        <v>0</v>
      </c>
      <c r="Q85" s="80">
        <f>O85+P85</f>
        <v>0</v>
      </c>
      <c r="R85" s="67">
        <f>ROUND(Q85*I85,2)</f>
        <v>0</v>
      </c>
      <c r="S85" s="40">
        <v>0</v>
      </c>
      <c r="T85" s="40">
        <v>0</v>
      </c>
      <c r="U85" s="41" t="str">
        <f>IF(M85=0,"N/A",Q85/M85-1)</f>
        <v>N/A</v>
      </c>
    </row>
    <row r="86" spans="2:21" x14ac:dyDescent="0.2">
      <c r="B86" s="60" t="s">
        <v>36</v>
      </c>
      <c r="C86" s="31">
        <v>0</v>
      </c>
      <c r="D86" s="32" t="s">
        <v>22</v>
      </c>
      <c r="E86" s="32" t="s">
        <v>22</v>
      </c>
      <c r="F86" s="32" t="s">
        <v>22</v>
      </c>
      <c r="G86" s="77"/>
      <c r="H86" s="32" t="s">
        <v>38</v>
      </c>
      <c r="I86" s="61">
        <v>0</v>
      </c>
      <c r="J86" s="61"/>
      <c r="K86" s="78">
        <v>0</v>
      </c>
      <c r="L86" s="79">
        <v>0</v>
      </c>
      <c r="M86" s="64">
        <f>K86+L86</f>
        <v>0</v>
      </c>
      <c r="N86" s="67">
        <f>ROUND(M86*I86,2)</f>
        <v>0</v>
      </c>
      <c r="O86" s="64">
        <f>ROUND(K86*(1+S86),2)</f>
        <v>0</v>
      </c>
      <c r="P86" s="64">
        <f>ROUND(K86*T86,2)</f>
        <v>0</v>
      </c>
      <c r="Q86" s="80">
        <f>O86+P86</f>
        <v>0</v>
      </c>
      <c r="R86" s="67">
        <f>ROUND(Q86*I86,2)</f>
        <v>0</v>
      </c>
      <c r="S86" s="40">
        <v>0</v>
      </c>
      <c r="T86" s="40">
        <v>0</v>
      </c>
      <c r="U86" s="41" t="str">
        <f>IF(M86=0,"N/A",Q86/M86-1)</f>
        <v>N/A</v>
      </c>
    </row>
    <row r="87" spans="2:21" x14ac:dyDescent="0.2">
      <c r="B87" s="60" t="s">
        <v>36</v>
      </c>
      <c r="C87" s="31">
        <v>0</v>
      </c>
      <c r="D87" s="32" t="s">
        <v>22</v>
      </c>
      <c r="E87" s="32" t="s">
        <v>22</v>
      </c>
      <c r="F87" s="32" t="s">
        <v>22</v>
      </c>
      <c r="G87" s="77"/>
      <c r="H87" s="32" t="s">
        <v>37</v>
      </c>
      <c r="I87" s="61">
        <v>0</v>
      </c>
      <c r="J87" s="61"/>
      <c r="K87" s="78">
        <v>0</v>
      </c>
      <c r="L87" s="79">
        <v>0</v>
      </c>
      <c r="M87" s="64">
        <f>K87+L87</f>
        <v>0</v>
      </c>
      <c r="N87" s="67">
        <f>ROUND(M87*I87,2)</f>
        <v>0</v>
      </c>
      <c r="O87" s="64">
        <f>ROUND(K87*(1+S87),2)</f>
        <v>0</v>
      </c>
      <c r="P87" s="64">
        <f>ROUND(K87*T87,2)</f>
        <v>0</v>
      </c>
      <c r="Q87" s="80">
        <f>O87+P87</f>
        <v>0</v>
      </c>
      <c r="R87" s="67">
        <f>ROUND(Q87*I87,2)</f>
        <v>0</v>
      </c>
      <c r="S87" s="40">
        <v>0</v>
      </c>
      <c r="T87" s="40">
        <v>0</v>
      </c>
      <c r="U87" s="41" t="str">
        <f>IF(M87=0,"N/A",Q87/M87-1)</f>
        <v>N/A</v>
      </c>
    </row>
    <row r="88" spans="2:21" x14ac:dyDescent="0.2">
      <c r="B88" s="60" t="s">
        <v>36</v>
      </c>
      <c r="C88" s="31">
        <v>0</v>
      </c>
      <c r="D88" s="32" t="s">
        <v>22</v>
      </c>
      <c r="E88" s="32" t="s">
        <v>22</v>
      </c>
      <c r="F88" s="32" t="s">
        <v>22</v>
      </c>
      <c r="G88" s="77"/>
      <c r="H88" s="32" t="s">
        <v>38</v>
      </c>
      <c r="I88" s="61">
        <v>0</v>
      </c>
      <c r="J88" s="61"/>
      <c r="K88" s="78">
        <v>0</v>
      </c>
      <c r="L88" s="79">
        <v>0</v>
      </c>
      <c r="M88" s="64">
        <f>K88+L88</f>
        <v>0</v>
      </c>
      <c r="N88" s="67">
        <f>ROUND(M88*I88,2)</f>
        <v>0</v>
      </c>
      <c r="O88" s="64">
        <f>ROUND(K88*(1+S88),2)</f>
        <v>0</v>
      </c>
      <c r="P88" s="64">
        <f>ROUND(K88*T88,2)</f>
        <v>0</v>
      </c>
      <c r="Q88" s="80">
        <f>O88+P88</f>
        <v>0</v>
      </c>
      <c r="R88" s="67">
        <f>ROUND(Q88*I88,2)</f>
        <v>0</v>
      </c>
      <c r="S88" s="40">
        <v>0</v>
      </c>
      <c r="T88" s="40">
        <v>0</v>
      </c>
      <c r="U88" s="41" t="str">
        <f>IF(M88=0,"N/A",Q88/M88-1)</f>
        <v>N/A</v>
      </c>
    </row>
    <row r="89" spans="2:21" x14ac:dyDescent="0.2">
      <c r="B89" s="4"/>
      <c r="C89" s="44"/>
      <c r="D89" s="44"/>
      <c r="E89" s="44"/>
      <c r="F89" s="44"/>
      <c r="G89" s="49"/>
      <c r="H89" s="4"/>
      <c r="I89" s="62"/>
      <c r="J89" s="62"/>
      <c r="K89" s="81"/>
      <c r="L89" s="63"/>
      <c r="M89" s="64"/>
      <c r="N89" s="67"/>
      <c r="O89" s="64"/>
      <c r="P89" s="64"/>
      <c r="Q89" s="80"/>
      <c r="R89" s="67"/>
      <c r="S89" s="48"/>
      <c r="T89" s="48"/>
      <c r="U89" s="41"/>
    </row>
    <row r="90" spans="2:21" hidden="1" x14ac:dyDescent="0.2">
      <c r="B90" s="4"/>
      <c r="C90" s="44"/>
      <c r="D90" s="44"/>
      <c r="E90" s="44"/>
      <c r="F90" s="44"/>
      <c r="G90" s="49"/>
      <c r="H90" s="4"/>
      <c r="I90" s="62"/>
      <c r="J90" s="62"/>
      <c r="K90" s="81"/>
      <c r="L90" s="63"/>
      <c r="M90" s="37"/>
      <c r="N90" s="50"/>
      <c r="O90" s="64"/>
      <c r="P90" s="76"/>
      <c r="Q90" s="39"/>
      <c r="R90" s="50"/>
      <c r="S90" s="51"/>
    </row>
    <row r="91" spans="2:21" x14ac:dyDescent="0.2">
      <c r="B91" s="33" t="str">
        <f>"Total " &amp; B76</f>
        <v>Total Extended Health Care</v>
      </c>
      <c r="C91" s="52"/>
      <c r="D91" s="53"/>
      <c r="E91" s="54"/>
      <c r="F91" s="54"/>
      <c r="G91" s="15"/>
      <c r="H91" s="18"/>
      <c r="I91" s="65">
        <f>SUM(I77:I90)</f>
        <v>0</v>
      </c>
      <c r="J91" s="56"/>
      <c r="K91" s="57"/>
      <c r="L91" s="57"/>
      <c r="M91" s="57"/>
      <c r="N91" s="38">
        <f>SUM(N77:N90)</f>
        <v>0</v>
      </c>
      <c r="O91" s="57"/>
      <c r="P91" s="57"/>
      <c r="Q91" s="57"/>
      <c r="R91" s="38">
        <f>SUM(R77:R90)</f>
        <v>0</v>
      </c>
      <c r="S91" s="48"/>
      <c r="T91" s="48"/>
      <c r="U91" s="41" t="str">
        <f>IF(N91=0,"N/A",R91/N91-1)</f>
        <v>N/A</v>
      </c>
    </row>
    <row r="92" spans="2:21" x14ac:dyDescent="0.2">
      <c r="B92" s="16"/>
      <c r="C92" s="52"/>
      <c r="D92" s="53"/>
      <c r="E92" s="54"/>
      <c r="F92" s="54"/>
      <c r="G92" s="15"/>
      <c r="H92" s="18"/>
      <c r="I92" s="58"/>
      <c r="J92" s="58"/>
      <c r="K92" s="57"/>
      <c r="L92" s="57"/>
      <c r="M92" s="57"/>
      <c r="N92" s="38"/>
      <c r="O92" s="57"/>
      <c r="P92" s="57"/>
      <c r="Q92" s="57"/>
      <c r="R92" s="38"/>
      <c r="S92" s="48"/>
      <c r="T92" s="48"/>
      <c r="U92" s="41"/>
    </row>
    <row r="93" spans="2:21" x14ac:dyDescent="0.2">
      <c r="B93" s="29" t="s">
        <v>39</v>
      </c>
      <c r="C93" s="66"/>
      <c r="D93" s="53"/>
      <c r="E93" s="53"/>
      <c r="F93" s="53"/>
      <c r="G93" s="16"/>
      <c r="H93" s="71"/>
      <c r="I93" s="28"/>
      <c r="J93" s="28"/>
      <c r="K93" s="6"/>
      <c r="L93" s="6"/>
      <c r="M93" s="6"/>
      <c r="N93" s="7"/>
      <c r="O93" s="6"/>
      <c r="P93" s="6"/>
      <c r="Q93" s="6"/>
      <c r="R93" s="7"/>
      <c r="S93" s="8"/>
    </row>
    <row r="94" spans="2:21" x14ac:dyDescent="0.2">
      <c r="B94" s="60" t="s">
        <v>36</v>
      </c>
      <c r="C94" s="31">
        <v>0</v>
      </c>
      <c r="D94" s="31">
        <v>0</v>
      </c>
      <c r="E94" s="32" t="s">
        <v>22</v>
      </c>
      <c r="F94" s="32" t="s">
        <v>22</v>
      </c>
      <c r="G94" s="77"/>
      <c r="H94" s="32" t="s">
        <v>37</v>
      </c>
      <c r="I94" s="61">
        <v>0</v>
      </c>
      <c r="J94" s="61"/>
      <c r="K94" s="78">
        <v>0</v>
      </c>
      <c r="L94" s="79">
        <v>0</v>
      </c>
      <c r="M94" s="64">
        <f>K94+L94</f>
        <v>0</v>
      </c>
      <c r="N94" s="67">
        <f>ROUND(M94*I94,2)</f>
        <v>0</v>
      </c>
      <c r="O94" s="64">
        <f>ROUND(K94*(1+S94),2)</f>
        <v>0</v>
      </c>
      <c r="P94" s="64">
        <f>ROUND(K94*T94,2)</f>
        <v>0</v>
      </c>
      <c r="Q94" s="80">
        <f>O94+P94</f>
        <v>0</v>
      </c>
      <c r="R94" s="67">
        <f>ROUND(Q94*I94,2)</f>
        <v>0</v>
      </c>
      <c r="S94" s="40">
        <v>0</v>
      </c>
      <c r="T94" s="40">
        <v>0</v>
      </c>
      <c r="U94" s="41" t="str">
        <f>IF(M94=0,"N/A",Q94/M94-1)</f>
        <v>N/A</v>
      </c>
    </row>
    <row r="95" spans="2:21" x14ac:dyDescent="0.2">
      <c r="B95" s="60" t="s">
        <v>36</v>
      </c>
      <c r="C95" s="31">
        <v>0</v>
      </c>
      <c r="D95" s="31">
        <v>0</v>
      </c>
      <c r="E95" s="32" t="s">
        <v>22</v>
      </c>
      <c r="F95" s="32" t="s">
        <v>22</v>
      </c>
      <c r="G95" s="77"/>
      <c r="H95" s="32" t="s">
        <v>38</v>
      </c>
      <c r="I95" s="61">
        <v>0</v>
      </c>
      <c r="J95" s="61"/>
      <c r="K95" s="78">
        <v>0</v>
      </c>
      <c r="L95" s="79">
        <v>0</v>
      </c>
      <c r="M95" s="64">
        <f>K95+L95</f>
        <v>0</v>
      </c>
      <c r="N95" s="67">
        <f>ROUND(M95*I95,2)</f>
        <v>0</v>
      </c>
      <c r="O95" s="64">
        <f>ROUND(K95*(1+S95),2)</f>
        <v>0</v>
      </c>
      <c r="P95" s="64">
        <f>ROUND(K95*T95,2)</f>
        <v>0</v>
      </c>
      <c r="Q95" s="80">
        <f>O95+P95</f>
        <v>0</v>
      </c>
      <c r="R95" s="67">
        <f>ROUND(Q95*I95,2)</f>
        <v>0</v>
      </c>
      <c r="S95" s="40">
        <v>0</v>
      </c>
      <c r="T95" s="40">
        <v>0</v>
      </c>
      <c r="U95" s="41" t="str">
        <f>IF(M95=0,"N/A",Q95/M95-1)</f>
        <v>N/A</v>
      </c>
    </row>
    <row r="96" spans="2:21" x14ac:dyDescent="0.2">
      <c r="B96" s="60" t="s">
        <v>36</v>
      </c>
      <c r="C96" s="31">
        <v>0</v>
      </c>
      <c r="D96" s="31">
        <v>0</v>
      </c>
      <c r="E96" s="32" t="s">
        <v>22</v>
      </c>
      <c r="F96" s="32" t="s">
        <v>22</v>
      </c>
      <c r="G96" s="77"/>
      <c r="H96" s="32" t="s">
        <v>37</v>
      </c>
      <c r="I96" s="61">
        <v>0</v>
      </c>
      <c r="J96" s="61"/>
      <c r="K96" s="78">
        <v>0</v>
      </c>
      <c r="L96" s="79">
        <v>0</v>
      </c>
      <c r="M96" s="64">
        <f>K96+L96</f>
        <v>0</v>
      </c>
      <c r="N96" s="67">
        <f>ROUND(M96*I96,2)</f>
        <v>0</v>
      </c>
      <c r="O96" s="64">
        <f>ROUND(K96*(1+S96),2)</f>
        <v>0</v>
      </c>
      <c r="P96" s="64">
        <f>ROUND(K96*T96,2)</f>
        <v>0</v>
      </c>
      <c r="Q96" s="80">
        <f>O96+P96</f>
        <v>0</v>
      </c>
      <c r="R96" s="67">
        <f>ROUND(Q96*I96,2)</f>
        <v>0</v>
      </c>
      <c r="S96" s="40">
        <v>0</v>
      </c>
      <c r="T96" s="40">
        <v>0</v>
      </c>
      <c r="U96" s="41" t="str">
        <f>IF(M96=0,"N/A",Q96/M96-1)</f>
        <v>N/A</v>
      </c>
    </row>
    <row r="97" spans="2:21" x14ac:dyDescent="0.2">
      <c r="B97" s="60" t="s">
        <v>36</v>
      </c>
      <c r="C97" s="31">
        <v>0</v>
      </c>
      <c r="D97" s="31">
        <v>0</v>
      </c>
      <c r="E97" s="32" t="s">
        <v>22</v>
      </c>
      <c r="F97" s="32" t="s">
        <v>22</v>
      </c>
      <c r="G97" s="77"/>
      <c r="H97" s="32" t="s">
        <v>38</v>
      </c>
      <c r="I97" s="61">
        <v>0</v>
      </c>
      <c r="J97" s="61"/>
      <c r="K97" s="78">
        <v>0</v>
      </c>
      <c r="L97" s="79">
        <v>0</v>
      </c>
      <c r="M97" s="64">
        <f>K97+L97</f>
        <v>0</v>
      </c>
      <c r="N97" s="67">
        <f>ROUND(M97*I97,2)</f>
        <v>0</v>
      </c>
      <c r="O97" s="64">
        <f>ROUND(K97*(1+S97),2)</f>
        <v>0</v>
      </c>
      <c r="P97" s="64">
        <f>ROUND(K97*T97,2)</f>
        <v>0</v>
      </c>
      <c r="Q97" s="80">
        <f>O97+P97</f>
        <v>0</v>
      </c>
      <c r="R97" s="67">
        <f>ROUND(Q97*I97,2)</f>
        <v>0</v>
      </c>
      <c r="S97" s="40">
        <v>0</v>
      </c>
      <c r="T97" s="40">
        <v>0</v>
      </c>
      <c r="U97" s="41" t="str">
        <f>IF(M97=0,"N/A",Q97/M97-1)</f>
        <v>N/A</v>
      </c>
    </row>
    <row r="98" spans="2:21" x14ac:dyDescent="0.2">
      <c r="B98" s="60" t="s">
        <v>36</v>
      </c>
      <c r="C98" s="31">
        <v>0</v>
      </c>
      <c r="D98" s="31">
        <v>0</v>
      </c>
      <c r="E98" s="32" t="s">
        <v>22</v>
      </c>
      <c r="F98" s="32" t="s">
        <v>22</v>
      </c>
      <c r="G98" s="77"/>
      <c r="H98" s="32" t="s">
        <v>37</v>
      </c>
      <c r="I98" s="61">
        <v>0</v>
      </c>
      <c r="J98" s="61"/>
      <c r="K98" s="78">
        <v>0</v>
      </c>
      <c r="L98" s="79">
        <v>0</v>
      </c>
      <c r="M98" s="64">
        <f>K98+L98</f>
        <v>0</v>
      </c>
      <c r="N98" s="67">
        <f>ROUND(M98*I98,2)</f>
        <v>0</v>
      </c>
      <c r="O98" s="64">
        <f>ROUND(K98*(1+S98),2)</f>
        <v>0</v>
      </c>
      <c r="P98" s="64">
        <f>ROUND(K98*T98,2)</f>
        <v>0</v>
      </c>
      <c r="Q98" s="80">
        <f>O98+P98</f>
        <v>0</v>
      </c>
      <c r="R98" s="67">
        <f>ROUND(Q98*I98,2)</f>
        <v>0</v>
      </c>
      <c r="S98" s="40">
        <v>0</v>
      </c>
      <c r="T98" s="40">
        <v>0</v>
      </c>
      <c r="U98" s="41" t="str">
        <f>IF(M98=0,"N/A",Q98/M98-1)</f>
        <v>N/A</v>
      </c>
    </row>
    <row r="99" spans="2:21" x14ac:dyDescent="0.2">
      <c r="B99" s="60" t="s">
        <v>36</v>
      </c>
      <c r="C99" s="31">
        <v>0</v>
      </c>
      <c r="D99" s="31">
        <v>0</v>
      </c>
      <c r="E99" s="32" t="s">
        <v>22</v>
      </c>
      <c r="F99" s="32" t="s">
        <v>22</v>
      </c>
      <c r="G99" s="77"/>
      <c r="H99" s="32" t="s">
        <v>38</v>
      </c>
      <c r="I99" s="61">
        <v>0</v>
      </c>
      <c r="J99" s="61"/>
      <c r="K99" s="78">
        <v>0</v>
      </c>
      <c r="L99" s="79">
        <v>0</v>
      </c>
      <c r="M99" s="64">
        <f>K99+L99</f>
        <v>0</v>
      </c>
      <c r="N99" s="67">
        <f>ROUND(M99*I99,2)</f>
        <v>0</v>
      </c>
      <c r="O99" s="64">
        <f>ROUND(K99*(1+S99),2)</f>
        <v>0</v>
      </c>
      <c r="P99" s="64">
        <f>ROUND(K99*T99,2)</f>
        <v>0</v>
      </c>
      <c r="Q99" s="80">
        <f>O99+P99</f>
        <v>0</v>
      </c>
      <c r="R99" s="67">
        <f>ROUND(Q99*I99,2)</f>
        <v>0</v>
      </c>
      <c r="S99" s="40">
        <v>0</v>
      </c>
      <c r="T99" s="40">
        <v>0</v>
      </c>
      <c r="U99" s="41" t="str">
        <f>IF(M99=0,"N/A",Q99/M99-1)</f>
        <v>N/A</v>
      </c>
    </row>
    <row r="100" spans="2:21" x14ac:dyDescent="0.2">
      <c r="B100" s="60" t="s">
        <v>36</v>
      </c>
      <c r="C100" s="31">
        <v>0</v>
      </c>
      <c r="D100" s="31">
        <v>0</v>
      </c>
      <c r="E100" s="32" t="s">
        <v>22</v>
      </c>
      <c r="F100" s="32" t="s">
        <v>22</v>
      </c>
      <c r="G100" s="77"/>
      <c r="H100" s="32" t="s">
        <v>37</v>
      </c>
      <c r="I100" s="61">
        <v>0</v>
      </c>
      <c r="J100" s="61"/>
      <c r="K100" s="78">
        <v>0</v>
      </c>
      <c r="L100" s="79">
        <v>0</v>
      </c>
      <c r="M100" s="64">
        <f>K100+L100</f>
        <v>0</v>
      </c>
      <c r="N100" s="67">
        <f>ROUND(M100*I100,2)</f>
        <v>0</v>
      </c>
      <c r="O100" s="64">
        <f>ROUND(K100*(1+S100),2)</f>
        <v>0</v>
      </c>
      <c r="P100" s="64">
        <f>ROUND(K100*T100,2)</f>
        <v>0</v>
      </c>
      <c r="Q100" s="80">
        <f>O100+P100</f>
        <v>0</v>
      </c>
      <c r="R100" s="67">
        <f>ROUND(Q100*I100,2)</f>
        <v>0</v>
      </c>
      <c r="S100" s="40">
        <v>0</v>
      </c>
      <c r="T100" s="40">
        <v>0</v>
      </c>
      <c r="U100" s="41" t="str">
        <f>IF(M100=0,"N/A",Q100/M100-1)</f>
        <v>N/A</v>
      </c>
    </row>
    <row r="101" spans="2:21" x14ac:dyDescent="0.2">
      <c r="B101" s="60" t="s">
        <v>36</v>
      </c>
      <c r="C101" s="31">
        <v>0</v>
      </c>
      <c r="D101" s="31">
        <v>0</v>
      </c>
      <c r="E101" s="32" t="s">
        <v>22</v>
      </c>
      <c r="F101" s="32" t="s">
        <v>22</v>
      </c>
      <c r="G101" s="77"/>
      <c r="H101" s="32" t="s">
        <v>38</v>
      </c>
      <c r="I101" s="61">
        <v>0</v>
      </c>
      <c r="J101" s="61"/>
      <c r="K101" s="78">
        <v>0</v>
      </c>
      <c r="L101" s="79">
        <v>0</v>
      </c>
      <c r="M101" s="64">
        <f>K101+L101</f>
        <v>0</v>
      </c>
      <c r="N101" s="67">
        <f>ROUND(M101*I101,2)</f>
        <v>0</v>
      </c>
      <c r="O101" s="64">
        <f>ROUND(K101*(1+S101),2)</f>
        <v>0</v>
      </c>
      <c r="P101" s="64">
        <f>ROUND(K101*T101,2)</f>
        <v>0</v>
      </c>
      <c r="Q101" s="80">
        <f>O101+P101</f>
        <v>0</v>
      </c>
      <c r="R101" s="67">
        <f>ROUND(Q101*I101,2)</f>
        <v>0</v>
      </c>
      <c r="S101" s="40">
        <v>0</v>
      </c>
      <c r="T101" s="40">
        <v>0</v>
      </c>
      <c r="U101" s="41" t="str">
        <f>IF(M101=0,"N/A",Q101/M101-1)</f>
        <v>N/A</v>
      </c>
    </row>
    <row r="102" spans="2:21" x14ac:dyDescent="0.2">
      <c r="B102" s="60" t="s">
        <v>36</v>
      </c>
      <c r="C102" s="31">
        <v>0</v>
      </c>
      <c r="D102" s="31">
        <v>0</v>
      </c>
      <c r="E102" s="32" t="s">
        <v>22</v>
      </c>
      <c r="F102" s="32" t="s">
        <v>22</v>
      </c>
      <c r="G102" s="77"/>
      <c r="H102" s="32" t="s">
        <v>37</v>
      </c>
      <c r="I102" s="61">
        <v>0</v>
      </c>
      <c r="J102" s="61"/>
      <c r="K102" s="78">
        <v>0</v>
      </c>
      <c r="L102" s="79">
        <v>0</v>
      </c>
      <c r="M102" s="64">
        <f>K102+L102</f>
        <v>0</v>
      </c>
      <c r="N102" s="67">
        <f>ROUND(M102*I102,2)</f>
        <v>0</v>
      </c>
      <c r="O102" s="64">
        <f>ROUND(K102*(1+S102),2)</f>
        <v>0</v>
      </c>
      <c r="P102" s="64">
        <f>ROUND(K102*T102,2)</f>
        <v>0</v>
      </c>
      <c r="Q102" s="80">
        <f>O102+P102</f>
        <v>0</v>
      </c>
      <c r="R102" s="67">
        <f>ROUND(Q102*I102,2)</f>
        <v>0</v>
      </c>
      <c r="S102" s="40">
        <v>0</v>
      </c>
      <c r="T102" s="40">
        <v>0</v>
      </c>
      <c r="U102" s="41" t="str">
        <f>IF(M102=0,"N/A",Q102/M102-1)</f>
        <v>N/A</v>
      </c>
    </row>
    <row r="103" spans="2:21" x14ac:dyDescent="0.2">
      <c r="B103" s="60" t="s">
        <v>36</v>
      </c>
      <c r="C103" s="31">
        <v>0</v>
      </c>
      <c r="D103" s="31">
        <v>0</v>
      </c>
      <c r="E103" s="32" t="s">
        <v>22</v>
      </c>
      <c r="F103" s="32" t="s">
        <v>22</v>
      </c>
      <c r="G103" s="77"/>
      <c r="H103" s="32" t="s">
        <v>38</v>
      </c>
      <c r="I103" s="61">
        <v>0</v>
      </c>
      <c r="J103" s="61"/>
      <c r="K103" s="78">
        <v>0</v>
      </c>
      <c r="L103" s="79">
        <v>0</v>
      </c>
      <c r="M103" s="64">
        <f>K103+L103</f>
        <v>0</v>
      </c>
      <c r="N103" s="67">
        <f>ROUND(M103*I103,2)</f>
        <v>0</v>
      </c>
      <c r="O103" s="64">
        <f>ROUND(K103*(1+S103),2)</f>
        <v>0</v>
      </c>
      <c r="P103" s="64">
        <f>ROUND(K103*T103,2)</f>
        <v>0</v>
      </c>
      <c r="Q103" s="80">
        <f>O103+P103</f>
        <v>0</v>
      </c>
      <c r="R103" s="67">
        <f>ROUND(Q103*I103,2)</f>
        <v>0</v>
      </c>
      <c r="S103" s="40">
        <v>0</v>
      </c>
      <c r="T103" s="40">
        <v>0</v>
      </c>
      <c r="U103" s="41" t="str">
        <f>IF(M103=0,"N/A",Q103/M103-1)</f>
        <v>N/A</v>
      </c>
    </row>
    <row r="104" spans="2:21" x14ac:dyDescent="0.2">
      <c r="B104" s="60" t="s">
        <v>36</v>
      </c>
      <c r="C104" s="31">
        <v>0</v>
      </c>
      <c r="D104" s="31">
        <v>0</v>
      </c>
      <c r="E104" s="32" t="s">
        <v>22</v>
      </c>
      <c r="F104" s="32" t="s">
        <v>22</v>
      </c>
      <c r="G104" s="77"/>
      <c r="H104" s="32" t="s">
        <v>37</v>
      </c>
      <c r="I104" s="61">
        <v>0</v>
      </c>
      <c r="J104" s="61"/>
      <c r="K104" s="78">
        <v>0</v>
      </c>
      <c r="L104" s="79">
        <v>0</v>
      </c>
      <c r="M104" s="64">
        <f>K104+L104</f>
        <v>0</v>
      </c>
      <c r="N104" s="67">
        <f>ROUND(M104*I104,2)</f>
        <v>0</v>
      </c>
      <c r="O104" s="64">
        <f>ROUND(K104*(1+S104),2)</f>
        <v>0</v>
      </c>
      <c r="P104" s="64">
        <f>ROUND(K104*T104,2)</f>
        <v>0</v>
      </c>
      <c r="Q104" s="80">
        <f>O104+P104</f>
        <v>0</v>
      </c>
      <c r="R104" s="67">
        <f>ROUND(Q104*I104,2)</f>
        <v>0</v>
      </c>
      <c r="S104" s="40">
        <v>0</v>
      </c>
      <c r="T104" s="40">
        <v>0</v>
      </c>
      <c r="U104" s="41" t="str">
        <f>IF(M104=0,"N/A",Q104/M104-1)</f>
        <v>N/A</v>
      </c>
    </row>
    <row r="105" spans="2:21" x14ac:dyDescent="0.2">
      <c r="B105" s="60" t="s">
        <v>36</v>
      </c>
      <c r="C105" s="31">
        <v>0</v>
      </c>
      <c r="D105" s="31">
        <v>0</v>
      </c>
      <c r="E105" s="32" t="s">
        <v>22</v>
      </c>
      <c r="F105" s="32" t="s">
        <v>22</v>
      </c>
      <c r="G105" s="77"/>
      <c r="H105" s="32" t="s">
        <v>38</v>
      </c>
      <c r="I105" s="61">
        <v>0</v>
      </c>
      <c r="J105" s="61"/>
      <c r="K105" s="78">
        <v>0</v>
      </c>
      <c r="L105" s="79">
        <v>0</v>
      </c>
      <c r="M105" s="64">
        <f>K105+L105</f>
        <v>0</v>
      </c>
      <c r="N105" s="67">
        <f>ROUND(M105*I105,2)</f>
        <v>0</v>
      </c>
      <c r="O105" s="64">
        <f>ROUND(K105*(1+S105),2)</f>
        <v>0</v>
      </c>
      <c r="P105" s="64">
        <f>ROUND(K105*T105,2)</f>
        <v>0</v>
      </c>
      <c r="Q105" s="80">
        <f>O105+P105</f>
        <v>0</v>
      </c>
      <c r="R105" s="67">
        <f>ROUND(Q105*I105,2)</f>
        <v>0</v>
      </c>
      <c r="S105" s="40">
        <v>0</v>
      </c>
      <c r="T105" s="40">
        <v>0</v>
      </c>
      <c r="U105" s="41" t="str">
        <f>IF(M105=0,"N/A",Q105/M105-1)</f>
        <v>N/A</v>
      </c>
    </row>
    <row r="106" spans="2:21" x14ac:dyDescent="0.2">
      <c r="B106" s="4"/>
      <c r="C106" s="44"/>
      <c r="D106" s="44"/>
      <c r="E106" s="44"/>
      <c r="F106" s="44"/>
      <c r="G106" s="49"/>
      <c r="H106" s="4"/>
      <c r="I106" s="62"/>
      <c r="J106" s="62"/>
      <c r="K106" s="81"/>
      <c r="L106" s="63"/>
      <c r="M106" s="64"/>
      <c r="N106" s="67"/>
      <c r="O106" s="64"/>
      <c r="P106" s="64"/>
      <c r="Q106" s="80"/>
      <c r="R106" s="67"/>
      <c r="S106" s="48"/>
      <c r="T106" s="48"/>
      <c r="U106" s="41"/>
    </row>
    <row r="107" spans="2:21" hidden="1" x14ac:dyDescent="0.2">
      <c r="B107" s="4"/>
      <c r="C107" s="44"/>
      <c r="D107" s="44"/>
      <c r="E107" s="44"/>
      <c r="F107" s="44"/>
      <c r="G107" s="49"/>
      <c r="H107" s="4"/>
      <c r="I107" s="62"/>
      <c r="J107" s="62"/>
      <c r="K107" s="81"/>
      <c r="L107" s="63"/>
      <c r="M107" s="37"/>
      <c r="N107" s="50"/>
      <c r="O107" s="64"/>
      <c r="P107" s="76"/>
      <c r="Q107" s="39"/>
      <c r="R107" s="50"/>
      <c r="S107" s="51"/>
    </row>
    <row r="108" spans="2:21" x14ac:dyDescent="0.2">
      <c r="B108" s="33" t="str">
        <f>"Total " &amp; B93</f>
        <v>Total Hospital</v>
      </c>
      <c r="C108" s="52"/>
      <c r="D108" s="53"/>
      <c r="E108" s="54"/>
      <c r="F108" s="54"/>
      <c r="G108" s="15"/>
      <c r="H108" s="18"/>
      <c r="I108" s="65">
        <f>SUM(I94:I107)</f>
        <v>0</v>
      </c>
      <c r="J108" s="56"/>
      <c r="K108" s="57"/>
      <c r="L108" s="57"/>
      <c r="M108" s="57"/>
      <c r="N108" s="38">
        <f>SUM(N94:N107)</f>
        <v>0</v>
      </c>
      <c r="O108" s="57"/>
      <c r="P108" s="57"/>
      <c r="Q108" s="57"/>
      <c r="R108" s="38">
        <f>SUM(R94:R107)</f>
        <v>0</v>
      </c>
      <c r="S108" s="48"/>
      <c r="T108" s="48"/>
      <c r="U108" s="41" t="str">
        <f>IF(N108=0,"N/A",R108/N108-1)</f>
        <v>N/A</v>
      </c>
    </row>
    <row r="109" spans="2:21" x14ac:dyDescent="0.2">
      <c r="B109" s="16"/>
      <c r="C109" s="52"/>
      <c r="D109" s="53"/>
      <c r="E109" s="54"/>
      <c r="F109" s="54"/>
      <c r="G109" s="15"/>
      <c r="H109" s="18"/>
      <c r="I109" s="58"/>
      <c r="J109" s="58"/>
      <c r="K109" s="57"/>
      <c r="L109" s="57"/>
      <c r="M109" s="57"/>
      <c r="N109" s="38"/>
      <c r="O109" s="57"/>
      <c r="P109" s="57"/>
      <c r="Q109" s="57"/>
      <c r="R109" s="38"/>
      <c r="S109" s="48"/>
      <c r="T109" s="48"/>
      <c r="U109" s="41"/>
    </row>
    <row r="110" spans="2:21" x14ac:dyDescent="0.2">
      <c r="B110" s="29" t="s">
        <v>40</v>
      </c>
      <c r="C110" s="66"/>
      <c r="D110" s="53"/>
      <c r="E110" s="53"/>
      <c r="F110" s="53"/>
      <c r="G110" s="16"/>
      <c r="H110" s="71"/>
      <c r="I110" s="28"/>
      <c r="J110" s="28"/>
      <c r="K110" s="6"/>
      <c r="L110" s="6"/>
      <c r="M110" s="6"/>
      <c r="N110" s="7"/>
      <c r="O110" s="6"/>
      <c r="P110" s="6"/>
      <c r="Q110" s="6"/>
      <c r="R110" s="7"/>
      <c r="S110" s="8"/>
    </row>
    <row r="111" spans="2:21" x14ac:dyDescent="0.2">
      <c r="B111" s="60" t="s">
        <v>36</v>
      </c>
      <c r="C111" s="31">
        <v>0</v>
      </c>
      <c r="D111" s="31">
        <v>0</v>
      </c>
      <c r="E111" s="32" t="s">
        <v>22</v>
      </c>
      <c r="F111" s="32" t="s">
        <v>22</v>
      </c>
      <c r="G111" s="77"/>
      <c r="H111" s="32" t="s">
        <v>37</v>
      </c>
      <c r="I111" s="61">
        <v>0</v>
      </c>
      <c r="J111" s="61"/>
      <c r="K111" s="78">
        <v>0</v>
      </c>
      <c r="L111" s="79">
        <v>0</v>
      </c>
      <c r="M111" s="64">
        <f>K111+L111</f>
        <v>0</v>
      </c>
      <c r="N111" s="67">
        <f>ROUND(M111*I111,2)</f>
        <v>0</v>
      </c>
      <c r="O111" s="64">
        <f>ROUND(K111*(1+S111),2)</f>
        <v>0</v>
      </c>
      <c r="P111" s="64">
        <f>ROUND(K111*T111,2)</f>
        <v>0</v>
      </c>
      <c r="Q111" s="80">
        <f>O111+P111</f>
        <v>0</v>
      </c>
      <c r="R111" s="67">
        <f>ROUND(Q111*I111,2)</f>
        <v>0</v>
      </c>
      <c r="S111" s="40">
        <v>0</v>
      </c>
      <c r="T111" s="40">
        <v>0</v>
      </c>
      <c r="U111" s="41" t="str">
        <f>IF(M111=0,"N/A",Q111/M111-1)</f>
        <v>N/A</v>
      </c>
    </row>
    <row r="112" spans="2:21" x14ac:dyDescent="0.2">
      <c r="B112" s="60" t="s">
        <v>36</v>
      </c>
      <c r="C112" s="31">
        <v>0</v>
      </c>
      <c r="D112" s="31">
        <v>0</v>
      </c>
      <c r="E112" s="32" t="s">
        <v>22</v>
      </c>
      <c r="F112" s="32" t="s">
        <v>22</v>
      </c>
      <c r="G112" s="77"/>
      <c r="H112" s="32" t="s">
        <v>38</v>
      </c>
      <c r="I112" s="61">
        <v>0</v>
      </c>
      <c r="J112" s="61"/>
      <c r="K112" s="78">
        <v>0</v>
      </c>
      <c r="L112" s="79">
        <v>0</v>
      </c>
      <c r="M112" s="64">
        <f>K112+L112</f>
        <v>0</v>
      </c>
      <c r="N112" s="67">
        <f>ROUND(M112*I112,2)</f>
        <v>0</v>
      </c>
      <c r="O112" s="64">
        <f>ROUND(K112*(1+S112),2)</f>
        <v>0</v>
      </c>
      <c r="P112" s="64">
        <f>ROUND(K112*T112,2)</f>
        <v>0</v>
      </c>
      <c r="Q112" s="80">
        <f>O112+P112</f>
        <v>0</v>
      </c>
      <c r="R112" s="67">
        <f>ROUND(Q112*I112,2)</f>
        <v>0</v>
      </c>
      <c r="S112" s="40">
        <v>0</v>
      </c>
      <c r="T112" s="40">
        <v>0</v>
      </c>
      <c r="U112" s="41" t="str">
        <f>IF(M112=0,"N/A",Q112/M112-1)</f>
        <v>N/A</v>
      </c>
    </row>
    <row r="113" spans="2:21" x14ac:dyDescent="0.2">
      <c r="B113" s="60" t="s">
        <v>36</v>
      </c>
      <c r="C113" s="31">
        <v>0</v>
      </c>
      <c r="D113" s="31">
        <v>0</v>
      </c>
      <c r="E113" s="32" t="s">
        <v>22</v>
      </c>
      <c r="F113" s="32" t="s">
        <v>22</v>
      </c>
      <c r="G113" s="77"/>
      <c r="H113" s="32" t="s">
        <v>37</v>
      </c>
      <c r="I113" s="61">
        <v>0</v>
      </c>
      <c r="J113" s="61"/>
      <c r="K113" s="78">
        <v>0</v>
      </c>
      <c r="L113" s="79">
        <v>0</v>
      </c>
      <c r="M113" s="64">
        <f>K113+L113</f>
        <v>0</v>
      </c>
      <c r="N113" s="67">
        <f>ROUND(M113*I113,2)</f>
        <v>0</v>
      </c>
      <c r="O113" s="64">
        <f>ROUND(K113*(1+S113),2)</f>
        <v>0</v>
      </c>
      <c r="P113" s="64">
        <f>ROUND(K113*T113,2)</f>
        <v>0</v>
      </c>
      <c r="Q113" s="80">
        <f>O113+P113</f>
        <v>0</v>
      </c>
      <c r="R113" s="67">
        <f>ROUND(Q113*I113,2)</f>
        <v>0</v>
      </c>
      <c r="S113" s="40">
        <v>0</v>
      </c>
      <c r="T113" s="40">
        <v>0</v>
      </c>
      <c r="U113" s="41" t="str">
        <f>IF(M113=0,"N/A",Q113/M113-1)</f>
        <v>N/A</v>
      </c>
    </row>
    <row r="114" spans="2:21" x14ac:dyDescent="0.2">
      <c r="B114" s="60" t="s">
        <v>36</v>
      </c>
      <c r="C114" s="31">
        <v>0</v>
      </c>
      <c r="D114" s="31">
        <v>0</v>
      </c>
      <c r="E114" s="32" t="s">
        <v>22</v>
      </c>
      <c r="F114" s="32" t="s">
        <v>22</v>
      </c>
      <c r="G114" s="77"/>
      <c r="H114" s="32" t="s">
        <v>38</v>
      </c>
      <c r="I114" s="61">
        <v>0</v>
      </c>
      <c r="J114" s="61"/>
      <c r="K114" s="78">
        <v>0</v>
      </c>
      <c r="L114" s="79">
        <v>0</v>
      </c>
      <c r="M114" s="64">
        <f>K114+L114</f>
        <v>0</v>
      </c>
      <c r="N114" s="67">
        <f>ROUND(M114*I114,2)</f>
        <v>0</v>
      </c>
      <c r="O114" s="64">
        <f>ROUND(K114*(1+S114),2)</f>
        <v>0</v>
      </c>
      <c r="P114" s="64">
        <f>ROUND(K114*T114,2)</f>
        <v>0</v>
      </c>
      <c r="Q114" s="80">
        <f>O114+P114</f>
        <v>0</v>
      </c>
      <c r="R114" s="67">
        <f>ROUND(Q114*I114,2)</f>
        <v>0</v>
      </c>
      <c r="S114" s="40">
        <v>0</v>
      </c>
      <c r="T114" s="40">
        <v>0</v>
      </c>
      <c r="U114" s="41" t="str">
        <f>IF(M114=0,"N/A",Q114/M114-1)</f>
        <v>N/A</v>
      </c>
    </row>
    <row r="115" spans="2:21" x14ac:dyDescent="0.2">
      <c r="B115" s="60" t="s">
        <v>36</v>
      </c>
      <c r="C115" s="31">
        <v>0</v>
      </c>
      <c r="D115" s="31">
        <v>0</v>
      </c>
      <c r="E115" s="32" t="s">
        <v>22</v>
      </c>
      <c r="F115" s="32" t="s">
        <v>22</v>
      </c>
      <c r="G115" s="77"/>
      <c r="H115" s="32" t="s">
        <v>37</v>
      </c>
      <c r="I115" s="61">
        <v>0</v>
      </c>
      <c r="J115" s="61"/>
      <c r="K115" s="78">
        <v>0</v>
      </c>
      <c r="L115" s="79">
        <v>0</v>
      </c>
      <c r="M115" s="64">
        <f>K115+L115</f>
        <v>0</v>
      </c>
      <c r="N115" s="67">
        <f>ROUND(M115*I115,2)</f>
        <v>0</v>
      </c>
      <c r="O115" s="64">
        <f>ROUND(K115*(1+S115),2)</f>
        <v>0</v>
      </c>
      <c r="P115" s="64">
        <f>ROUND(K115*T115,2)</f>
        <v>0</v>
      </c>
      <c r="Q115" s="80">
        <f>O115+P115</f>
        <v>0</v>
      </c>
      <c r="R115" s="67">
        <f>ROUND(Q115*I115,2)</f>
        <v>0</v>
      </c>
      <c r="S115" s="40">
        <v>0</v>
      </c>
      <c r="T115" s="40">
        <v>0</v>
      </c>
      <c r="U115" s="41" t="str">
        <f>IF(M115=0,"N/A",Q115/M115-1)</f>
        <v>N/A</v>
      </c>
    </row>
    <row r="116" spans="2:21" x14ac:dyDescent="0.2">
      <c r="B116" s="60" t="s">
        <v>36</v>
      </c>
      <c r="C116" s="31">
        <v>0</v>
      </c>
      <c r="D116" s="31">
        <v>0</v>
      </c>
      <c r="E116" s="32" t="s">
        <v>22</v>
      </c>
      <c r="F116" s="32" t="s">
        <v>22</v>
      </c>
      <c r="G116" s="77"/>
      <c r="H116" s="32" t="s">
        <v>38</v>
      </c>
      <c r="I116" s="61">
        <v>0</v>
      </c>
      <c r="J116" s="61"/>
      <c r="K116" s="78">
        <v>0</v>
      </c>
      <c r="L116" s="79">
        <v>0</v>
      </c>
      <c r="M116" s="64">
        <f>K116+L116</f>
        <v>0</v>
      </c>
      <c r="N116" s="67">
        <f>ROUND(M116*I116,2)</f>
        <v>0</v>
      </c>
      <c r="O116" s="64">
        <f>ROUND(K116*(1+S116),2)</f>
        <v>0</v>
      </c>
      <c r="P116" s="64">
        <f>ROUND(K116*T116,2)</f>
        <v>0</v>
      </c>
      <c r="Q116" s="80">
        <f>O116+P116</f>
        <v>0</v>
      </c>
      <c r="R116" s="67">
        <f>ROUND(Q116*I116,2)</f>
        <v>0</v>
      </c>
      <c r="S116" s="40">
        <v>0</v>
      </c>
      <c r="T116" s="40">
        <v>0</v>
      </c>
      <c r="U116" s="41" t="str">
        <f>IF(M116=0,"N/A",Q116/M116-1)</f>
        <v>N/A</v>
      </c>
    </row>
    <row r="117" spans="2:21" x14ac:dyDescent="0.2">
      <c r="B117" s="60" t="s">
        <v>36</v>
      </c>
      <c r="C117" s="31">
        <v>0</v>
      </c>
      <c r="D117" s="31">
        <v>0</v>
      </c>
      <c r="E117" s="32" t="s">
        <v>22</v>
      </c>
      <c r="F117" s="32" t="s">
        <v>22</v>
      </c>
      <c r="G117" s="77"/>
      <c r="H117" s="32" t="s">
        <v>37</v>
      </c>
      <c r="I117" s="61">
        <v>0</v>
      </c>
      <c r="J117" s="61"/>
      <c r="K117" s="78">
        <v>0</v>
      </c>
      <c r="L117" s="79">
        <v>0</v>
      </c>
      <c r="M117" s="64">
        <f>K117+L117</f>
        <v>0</v>
      </c>
      <c r="N117" s="67">
        <f>ROUND(M117*I117,2)</f>
        <v>0</v>
      </c>
      <c r="O117" s="64">
        <f>ROUND(K117*(1+S117),2)</f>
        <v>0</v>
      </c>
      <c r="P117" s="64">
        <f>ROUND(K117*T117,2)</f>
        <v>0</v>
      </c>
      <c r="Q117" s="80">
        <f>O117+P117</f>
        <v>0</v>
      </c>
      <c r="R117" s="67">
        <f>ROUND(Q117*I117,2)</f>
        <v>0</v>
      </c>
      <c r="S117" s="40">
        <v>0</v>
      </c>
      <c r="T117" s="40">
        <v>0</v>
      </c>
      <c r="U117" s="41" t="str">
        <f>IF(M117=0,"N/A",Q117/M117-1)</f>
        <v>N/A</v>
      </c>
    </row>
    <row r="118" spans="2:21" x14ac:dyDescent="0.2">
      <c r="B118" s="60" t="s">
        <v>36</v>
      </c>
      <c r="C118" s="31">
        <v>0</v>
      </c>
      <c r="D118" s="31">
        <v>0</v>
      </c>
      <c r="E118" s="32" t="s">
        <v>22</v>
      </c>
      <c r="F118" s="32" t="s">
        <v>22</v>
      </c>
      <c r="G118" s="77"/>
      <c r="H118" s="32" t="s">
        <v>38</v>
      </c>
      <c r="I118" s="61">
        <v>0</v>
      </c>
      <c r="J118" s="61"/>
      <c r="K118" s="78">
        <v>0</v>
      </c>
      <c r="L118" s="79">
        <v>0</v>
      </c>
      <c r="M118" s="64">
        <f>K118+L118</f>
        <v>0</v>
      </c>
      <c r="N118" s="67">
        <f>ROUND(M118*I118,2)</f>
        <v>0</v>
      </c>
      <c r="O118" s="64">
        <f>ROUND(K118*(1+S118),2)</f>
        <v>0</v>
      </c>
      <c r="P118" s="64">
        <f>ROUND(K118*T118,2)</f>
        <v>0</v>
      </c>
      <c r="Q118" s="80">
        <f>O118+P118</f>
        <v>0</v>
      </c>
      <c r="R118" s="67">
        <f>ROUND(Q118*I118,2)</f>
        <v>0</v>
      </c>
      <c r="S118" s="40">
        <v>0</v>
      </c>
      <c r="T118" s="40">
        <v>0</v>
      </c>
      <c r="U118" s="41" t="str">
        <f>IF(M118=0,"N/A",Q118/M118-1)</f>
        <v>N/A</v>
      </c>
    </row>
    <row r="119" spans="2:21" x14ac:dyDescent="0.2">
      <c r="B119" s="60" t="s">
        <v>36</v>
      </c>
      <c r="C119" s="31">
        <v>0</v>
      </c>
      <c r="D119" s="31">
        <v>0</v>
      </c>
      <c r="E119" s="32" t="s">
        <v>22</v>
      </c>
      <c r="F119" s="32" t="s">
        <v>22</v>
      </c>
      <c r="G119" s="77"/>
      <c r="H119" s="32" t="s">
        <v>37</v>
      </c>
      <c r="I119" s="61">
        <v>0</v>
      </c>
      <c r="J119" s="61"/>
      <c r="K119" s="78">
        <v>0</v>
      </c>
      <c r="L119" s="79">
        <v>0</v>
      </c>
      <c r="M119" s="64">
        <f>K119+L119</f>
        <v>0</v>
      </c>
      <c r="N119" s="67">
        <f>ROUND(M119*I119,2)</f>
        <v>0</v>
      </c>
      <c r="O119" s="64">
        <f>ROUND(K119*(1+S119),2)</f>
        <v>0</v>
      </c>
      <c r="P119" s="64">
        <f>ROUND(K119*T119,2)</f>
        <v>0</v>
      </c>
      <c r="Q119" s="80">
        <f>O119+P119</f>
        <v>0</v>
      </c>
      <c r="R119" s="67">
        <f>ROUND(Q119*I119,2)</f>
        <v>0</v>
      </c>
      <c r="S119" s="40">
        <v>0</v>
      </c>
      <c r="T119" s="40">
        <v>0</v>
      </c>
      <c r="U119" s="41" t="str">
        <f>IF(M119=0,"N/A",Q119/M119-1)</f>
        <v>N/A</v>
      </c>
    </row>
    <row r="120" spans="2:21" x14ac:dyDescent="0.2">
      <c r="B120" s="60" t="s">
        <v>36</v>
      </c>
      <c r="C120" s="31">
        <v>0</v>
      </c>
      <c r="D120" s="31">
        <v>0</v>
      </c>
      <c r="E120" s="32" t="s">
        <v>22</v>
      </c>
      <c r="F120" s="32" t="s">
        <v>22</v>
      </c>
      <c r="G120" s="77"/>
      <c r="H120" s="32" t="s">
        <v>38</v>
      </c>
      <c r="I120" s="61">
        <v>0</v>
      </c>
      <c r="J120" s="61"/>
      <c r="K120" s="78">
        <v>0</v>
      </c>
      <c r="L120" s="79">
        <v>0</v>
      </c>
      <c r="M120" s="64">
        <f>K120+L120</f>
        <v>0</v>
      </c>
      <c r="N120" s="67">
        <f>ROUND(M120*I120,2)</f>
        <v>0</v>
      </c>
      <c r="O120" s="64">
        <f>ROUND(K120*(1+S120),2)</f>
        <v>0</v>
      </c>
      <c r="P120" s="64">
        <f>ROUND(K120*T120,2)</f>
        <v>0</v>
      </c>
      <c r="Q120" s="80">
        <f>O120+P120</f>
        <v>0</v>
      </c>
      <c r="R120" s="67">
        <f>ROUND(Q120*I120,2)</f>
        <v>0</v>
      </c>
      <c r="S120" s="40">
        <v>0</v>
      </c>
      <c r="T120" s="40">
        <v>0</v>
      </c>
      <c r="U120" s="41" t="str">
        <f>IF(M120=0,"N/A",Q120/M120-1)</f>
        <v>N/A</v>
      </c>
    </row>
    <row r="121" spans="2:21" x14ac:dyDescent="0.2">
      <c r="B121" s="60" t="s">
        <v>36</v>
      </c>
      <c r="C121" s="31">
        <v>0</v>
      </c>
      <c r="D121" s="31">
        <v>0</v>
      </c>
      <c r="E121" s="32" t="s">
        <v>22</v>
      </c>
      <c r="F121" s="32" t="s">
        <v>22</v>
      </c>
      <c r="G121" s="77"/>
      <c r="H121" s="32" t="s">
        <v>37</v>
      </c>
      <c r="I121" s="61">
        <v>0</v>
      </c>
      <c r="J121" s="61"/>
      <c r="K121" s="78">
        <v>0</v>
      </c>
      <c r="L121" s="79">
        <v>0</v>
      </c>
      <c r="M121" s="64">
        <f>K121+L121</f>
        <v>0</v>
      </c>
      <c r="N121" s="67">
        <f>ROUND(M121*I121,2)</f>
        <v>0</v>
      </c>
      <c r="O121" s="64">
        <f>ROUND(K121*(1+S121),2)</f>
        <v>0</v>
      </c>
      <c r="P121" s="64">
        <f>ROUND(K121*T121,2)</f>
        <v>0</v>
      </c>
      <c r="Q121" s="80">
        <f>O121+P121</f>
        <v>0</v>
      </c>
      <c r="R121" s="67">
        <f>ROUND(Q121*I121,2)</f>
        <v>0</v>
      </c>
      <c r="S121" s="40">
        <v>0</v>
      </c>
      <c r="T121" s="40">
        <v>0</v>
      </c>
      <c r="U121" s="41" t="str">
        <f>IF(M121=0,"N/A",Q121/M121-1)</f>
        <v>N/A</v>
      </c>
    </row>
    <row r="122" spans="2:21" x14ac:dyDescent="0.2">
      <c r="B122" s="60" t="s">
        <v>36</v>
      </c>
      <c r="C122" s="31">
        <v>0</v>
      </c>
      <c r="D122" s="31">
        <v>0</v>
      </c>
      <c r="E122" s="32" t="s">
        <v>22</v>
      </c>
      <c r="F122" s="32" t="s">
        <v>22</v>
      </c>
      <c r="G122" s="77"/>
      <c r="H122" s="32" t="s">
        <v>38</v>
      </c>
      <c r="I122" s="61">
        <v>0</v>
      </c>
      <c r="J122" s="61"/>
      <c r="K122" s="78">
        <v>0</v>
      </c>
      <c r="L122" s="79">
        <v>0</v>
      </c>
      <c r="M122" s="64">
        <f>K122+L122</f>
        <v>0</v>
      </c>
      <c r="N122" s="67">
        <f>ROUND(M122*I122,2)</f>
        <v>0</v>
      </c>
      <c r="O122" s="64">
        <f>ROUND(K122*(1+S122),2)</f>
        <v>0</v>
      </c>
      <c r="P122" s="64">
        <f>ROUND(K122*T122,2)</f>
        <v>0</v>
      </c>
      <c r="Q122" s="80">
        <f>O122+P122</f>
        <v>0</v>
      </c>
      <c r="R122" s="67">
        <f>ROUND(Q122*I122,2)</f>
        <v>0</v>
      </c>
      <c r="S122" s="40">
        <v>0</v>
      </c>
      <c r="T122" s="40">
        <v>0</v>
      </c>
      <c r="U122" s="41" t="str">
        <f>IF(M122=0,"N/A",Q122/M122-1)</f>
        <v>N/A</v>
      </c>
    </row>
    <row r="123" spans="2:21" x14ac:dyDescent="0.2">
      <c r="B123" s="4"/>
      <c r="C123" s="44"/>
      <c r="D123" s="44"/>
      <c r="E123" s="44"/>
      <c r="F123" s="44"/>
      <c r="G123" s="49"/>
      <c r="H123" s="4"/>
      <c r="I123" s="62"/>
      <c r="J123" s="62"/>
      <c r="K123" s="81"/>
      <c r="L123" s="63"/>
      <c r="M123" s="64"/>
      <c r="N123" s="67"/>
      <c r="O123" s="64"/>
      <c r="P123" s="64"/>
      <c r="Q123" s="80"/>
      <c r="R123" s="67"/>
      <c r="S123" s="48"/>
      <c r="T123" s="48"/>
      <c r="U123" s="41"/>
    </row>
    <row r="124" spans="2:21" hidden="1" x14ac:dyDescent="0.2">
      <c r="B124" s="4"/>
      <c r="C124" s="44"/>
      <c r="D124" s="44"/>
      <c r="E124" s="44"/>
      <c r="F124" s="44"/>
      <c r="G124" s="49"/>
      <c r="H124" s="4"/>
      <c r="I124" s="62"/>
      <c r="J124" s="62"/>
      <c r="K124" s="81"/>
      <c r="L124" s="63"/>
      <c r="M124" s="37"/>
      <c r="N124" s="50"/>
      <c r="O124" s="64"/>
      <c r="P124" s="76"/>
      <c r="Q124" s="39"/>
      <c r="R124" s="50"/>
      <c r="S124" s="51"/>
    </row>
    <row r="125" spans="2:21" x14ac:dyDescent="0.2">
      <c r="B125" s="33" t="str">
        <f>"Total " &amp; B110</f>
        <v>Total Drugs</v>
      </c>
      <c r="C125" s="52"/>
      <c r="D125" s="53"/>
      <c r="E125" s="54"/>
      <c r="F125" s="54"/>
      <c r="G125" s="15"/>
      <c r="H125" s="18"/>
      <c r="I125" s="65">
        <f>SUM(I111:I124)</f>
        <v>0</v>
      </c>
      <c r="J125" s="56"/>
      <c r="K125" s="57"/>
      <c r="L125" s="57"/>
      <c r="M125" s="57"/>
      <c r="N125" s="38">
        <f>SUM(N111:N124)</f>
        <v>0</v>
      </c>
      <c r="O125" s="57"/>
      <c r="P125" s="57"/>
      <c r="Q125" s="57"/>
      <c r="R125" s="38">
        <f>SUM(R111:R124)</f>
        <v>0</v>
      </c>
      <c r="S125" s="48"/>
      <c r="T125" s="48"/>
      <c r="U125" s="41" t="str">
        <f>IF(N125=0,"N/A",R125/N125-1)</f>
        <v>N/A</v>
      </c>
    </row>
    <row r="126" spans="2:21" x14ac:dyDescent="0.2">
      <c r="B126" s="16"/>
      <c r="C126" s="52"/>
      <c r="D126" s="53"/>
      <c r="E126" s="54"/>
      <c r="F126" s="54"/>
      <c r="G126" s="15"/>
      <c r="H126" s="18"/>
      <c r="I126" s="58"/>
      <c r="J126" s="58"/>
      <c r="K126" s="57"/>
      <c r="L126" s="57"/>
      <c r="M126" s="57"/>
      <c r="N126" s="38"/>
      <c r="O126" s="57"/>
      <c r="P126" s="57"/>
      <c r="Q126" s="57"/>
      <c r="R126" s="38"/>
      <c r="S126" s="48"/>
      <c r="T126" s="48"/>
      <c r="U126" s="41"/>
    </row>
    <row r="127" spans="2:21" x14ac:dyDescent="0.2">
      <c r="B127" s="29" t="s">
        <v>41</v>
      </c>
      <c r="C127" s="66"/>
      <c r="D127" s="53"/>
      <c r="E127" s="53"/>
      <c r="F127" s="53"/>
      <c r="G127" s="16"/>
      <c r="H127" s="71"/>
      <c r="I127" s="28"/>
      <c r="J127" s="28"/>
      <c r="K127" s="6"/>
      <c r="L127" s="6"/>
      <c r="M127" s="6"/>
      <c r="N127" s="7"/>
      <c r="O127" s="6"/>
      <c r="P127" s="6"/>
      <c r="Q127" s="6"/>
      <c r="R127" s="7"/>
      <c r="S127" s="8"/>
    </row>
    <row r="128" spans="2:21" x14ac:dyDescent="0.2">
      <c r="B128" s="60" t="s">
        <v>36</v>
      </c>
      <c r="C128" s="31">
        <v>0</v>
      </c>
      <c r="D128" s="31">
        <v>0</v>
      </c>
      <c r="E128" s="32" t="s">
        <v>22</v>
      </c>
      <c r="F128" s="32" t="s">
        <v>22</v>
      </c>
      <c r="G128" s="77"/>
      <c r="H128" s="32" t="s">
        <v>37</v>
      </c>
      <c r="I128" s="61">
        <v>0</v>
      </c>
      <c r="J128" s="61"/>
      <c r="K128" s="78">
        <v>0</v>
      </c>
      <c r="L128" s="79">
        <v>0</v>
      </c>
      <c r="M128" s="64">
        <f>K128+L128</f>
        <v>0</v>
      </c>
      <c r="N128" s="67">
        <f>ROUND(M128*I128,2)</f>
        <v>0</v>
      </c>
      <c r="O128" s="64">
        <f>ROUND(K128*(1+S128),2)</f>
        <v>0</v>
      </c>
      <c r="P128" s="64">
        <f>ROUND(K128*T128,2)</f>
        <v>0</v>
      </c>
      <c r="Q128" s="80">
        <f>O128+P128</f>
        <v>0</v>
      </c>
      <c r="R128" s="67">
        <f>ROUND(Q128*I128,2)</f>
        <v>0</v>
      </c>
      <c r="S128" s="40">
        <v>0</v>
      </c>
      <c r="T128" s="40">
        <v>0</v>
      </c>
      <c r="U128" s="41" t="str">
        <f>IF(M128=0,"N/A",Q128/M128-1)</f>
        <v>N/A</v>
      </c>
    </row>
    <row r="129" spans="2:21" x14ac:dyDescent="0.2">
      <c r="B129" s="60" t="s">
        <v>36</v>
      </c>
      <c r="C129" s="31">
        <v>0</v>
      </c>
      <c r="D129" s="31">
        <v>0</v>
      </c>
      <c r="E129" s="32" t="s">
        <v>22</v>
      </c>
      <c r="F129" s="32" t="s">
        <v>22</v>
      </c>
      <c r="G129" s="77"/>
      <c r="H129" s="32" t="s">
        <v>38</v>
      </c>
      <c r="I129" s="61">
        <v>0</v>
      </c>
      <c r="J129" s="61"/>
      <c r="K129" s="78">
        <v>0</v>
      </c>
      <c r="L129" s="79">
        <v>0</v>
      </c>
      <c r="M129" s="64">
        <f>K129+L129</f>
        <v>0</v>
      </c>
      <c r="N129" s="67">
        <f>ROUND(M129*I129,2)</f>
        <v>0</v>
      </c>
      <c r="O129" s="64">
        <f>ROUND(K129*(1+S129),2)</f>
        <v>0</v>
      </c>
      <c r="P129" s="64">
        <f>ROUND(K129*T129,2)</f>
        <v>0</v>
      </c>
      <c r="Q129" s="80">
        <f>O129+P129</f>
        <v>0</v>
      </c>
      <c r="R129" s="67">
        <f>ROUND(Q129*I129,2)</f>
        <v>0</v>
      </c>
      <c r="S129" s="40">
        <v>0</v>
      </c>
      <c r="T129" s="40">
        <v>0</v>
      </c>
      <c r="U129" s="41" t="str">
        <f>IF(M129=0,"N/A",Q129/M129-1)</f>
        <v>N/A</v>
      </c>
    </row>
    <row r="130" spans="2:21" x14ac:dyDescent="0.2">
      <c r="B130" s="60" t="s">
        <v>36</v>
      </c>
      <c r="C130" s="31">
        <v>0</v>
      </c>
      <c r="D130" s="31">
        <v>0</v>
      </c>
      <c r="E130" s="32" t="s">
        <v>22</v>
      </c>
      <c r="F130" s="32" t="s">
        <v>22</v>
      </c>
      <c r="G130" s="77"/>
      <c r="H130" s="32" t="s">
        <v>37</v>
      </c>
      <c r="I130" s="61">
        <v>0</v>
      </c>
      <c r="J130" s="61"/>
      <c r="K130" s="78">
        <v>0</v>
      </c>
      <c r="L130" s="79">
        <v>0</v>
      </c>
      <c r="M130" s="64">
        <f>K130+L130</f>
        <v>0</v>
      </c>
      <c r="N130" s="67">
        <f>ROUND(M130*I130,2)</f>
        <v>0</v>
      </c>
      <c r="O130" s="64">
        <f>ROUND(K130*(1+S130),2)</f>
        <v>0</v>
      </c>
      <c r="P130" s="64">
        <f>ROUND(K130*T130,2)</f>
        <v>0</v>
      </c>
      <c r="Q130" s="80">
        <f>O130+P130</f>
        <v>0</v>
      </c>
      <c r="R130" s="67">
        <f>ROUND(Q130*I130,2)</f>
        <v>0</v>
      </c>
      <c r="S130" s="40">
        <v>0</v>
      </c>
      <c r="T130" s="40">
        <v>0</v>
      </c>
      <c r="U130" s="41" t="str">
        <f>IF(M130=0,"N/A",Q130/M130-1)</f>
        <v>N/A</v>
      </c>
    </row>
    <row r="131" spans="2:21" x14ac:dyDescent="0.2">
      <c r="B131" s="60" t="s">
        <v>36</v>
      </c>
      <c r="C131" s="31">
        <v>0</v>
      </c>
      <c r="D131" s="31">
        <v>0</v>
      </c>
      <c r="E131" s="32" t="s">
        <v>22</v>
      </c>
      <c r="F131" s="32" t="s">
        <v>22</v>
      </c>
      <c r="G131" s="77"/>
      <c r="H131" s="32" t="s">
        <v>38</v>
      </c>
      <c r="I131" s="61">
        <v>0</v>
      </c>
      <c r="J131" s="61"/>
      <c r="K131" s="78">
        <v>0</v>
      </c>
      <c r="L131" s="79">
        <v>0</v>
      </c>
      <c r="M131" s="64">
        <f>K131+L131</f>
        <v>0</v>
      </c>
      <c r="N131" s="67">
        <f>ROUND(M131*I131,2)</f>
        <v>0</v>
      </c>
      <c r="O131" s="64">
        <f>ROUND(K131*(1+S131),2)</f>
        <v>0</v>
      </c>
      <c r="P131" s="64">
        <f>ROUND(K131*T131,2)</f>
        <v>0</v>
      </c>
      <c r="Q131" s="80">
        <f>O131+P131</f>
        <v>0</v>
      </c>
      <c r="R131" s="67">
        <f>ROUND(Q131*I131,2)</f>
        <v>0</v>
      </c>
      <c r="S131" s="40">
        <v>0</v>
      </c>
      <c r="T131" s="40">
        <v>0</v>
      </c>
      <c r="U131" s="41" t="str">
        <f>IF(M131=0,"N/A",Q131/M131-1)</f>
        <v>N/A</v>
      </c>
    </row>
    <row r="132" spans="2:21" x14ac:dyDescent="0.2">
      <c r="B132" s="60" t="s">
        <v>36</v>
      </c>
      <c r="C132" s="31">
        <v>0</v>
      </c>
      <c r="D132" s="31">
        <v>0</v>
      </c>
      <c r="E132" s="32" t="s">
        <v>22</v>
      </c>
      <c r="F132" s="32" t="s">
        <v>22</v>
      </c>
      <c r="G132" s="77"/>
      <c r="H132" s="32" t="s">
        <v>37</v>
      </c>
      <c r="I132" s="61">
        <v>0</v>
      </c>
      <c r="J132" s="61"/>
      <c r="K132" s="78">
        <v>0</v>
      </c>
      <c r="L132" s="79">
        <v>0</v>
      </c>
      <c r="M132" s="64">
        <f>K132+L132</f>
        <v>0</v>
      </c>
      <c r="N132" s="67">
        <f>ROUND(M132*I132,2)</f>
        <v>0</v>
      </c>
      <c r="O132" s="64">
        <f>ROUND(K132*(1+S132),2)</f>
        <v>0</v>
      </c>
      <c r="P132" s="64">
        <f>ROUND(K132*T132,2)</f>
        <v>0</v>
      </c>
      <c r="Q132" s="80">
        <f>O132+P132</f>
        <v>0</v>
      </c>
      <c r="R132" s="67">
        <f>ROUND(Q132*I132,2)</f>
        <v>0</v>
      </c>
      <c r="S132" s="40">
        <v>0</v>
      </c>
      <c r="T132" s="40">
        <v>0</v>
      </c>
      <c r="U132" s="41" t="str">
        <f>IF(M132=0,"N/A",Q132/M132-1)</f>
        <v>N/A</v>
      </c>
    </row>
    <row r="133" spans="2:21" x14ac:dyDescent="0.2">
      <c r="B133" s="60" t="s">
        <v>36</v>
      </c>
      <c r="C133" s="31">
        <v>0</v>
      </c>
      <c r="D133" s="31">
        <v>0</v>
      </c>
      <c r="E133" s="32" t="s">
        <v>22</v>
      </c>
      <c r="F133" s="32" t="s">
        <v>22</v>
      </c>
      <c r="G133" s="77"/>
      <c r="H133" s="32" t="s">
        <v>38</v>
      </c>
      <c r="I133" s="61">
        <v>0</v>
      </c>
      <c r="J133" s="61"/>
      <c r="K133" s="78">
        <v>0</v>
      </c>
      <c r="L133" s="79">
        <v>0</v>
      </c>
      <c r="M133" s="64">
        <f>K133+L133</f>
        <v>0</v>
      </c>
      <c r="N133" s="67">
        <f>ROUND(M133*I133,2)</f>
        <v>0</v>
      </c>
      <c r="O133" s="64">
        <f>ROUND(K133*(1+S133),2)</f>
        <v>0</v>
      </c>
      <c r="P133" s="64">
        <f>ROUND(K133*T133,2)</f>
        <v>0</v>
      </c>
      <c r="Q133" s="80">
        <f>O133+P133</f>
        <v>0</v>
      </c>
      <c r="R133" s="67">
        <f>ROUND(Q133*I133,2)</f>
        <v>0</v>
      </c>
      <c r="S133" s="40">
        <v>0</v>
      </c>
      <c r="T133" s="40">
        <v>0</v>
      </c>
      <c r="U133" s="41" t="str">
        <f>IF(M133=0,"N/A",Q133/M133-1)</f>
        <v>N/A</v>
      </c>
    </row>
    <row r="134" spans="2:21" x14ac:dyDescent="0.2">
      <c r="B134" s="60" t="s">
        <v>36</v>
      </c>
      <c r="C134" s="31">
        <v>0</v>
      </c>
      <c r="D134" s="31">
        <v>0</v>
      </c>
      <c r="E134" s="32" t="s">
        <v>22</v>
      </c>
      <c r="F134" s="32" t="s">
        <v>22</v>
      </c>
      <c r="G134" s="77"/>
      <c r="H134" s="32" t="s">
        <v>37</v>
      </c>
      <c r="I134" s="61">
        <v>0</v>
      </c>
      <c r="J134" s="61"/>
      <c r="K134" s="78">
        <v>0</v>
      </c>
      <c r="L134" s="79">
        <v>0</v>
      </c>
      <c r="M134" s="64">
        <f>K134+L134</f>
        <v>0</v>
      </c>
      <c r="N134" s="67">
        <f>ROUND(M134*I134,2)</f>
        <v>0</v>
      </c>
      <c r="O134" s="64">
        <f>ROUND(K134*(1+S134),2)</f>
        <v>0</v>
      </c>
      <c r="P134" s="64">
        <f>ROUND(K134*T134,2)</f>
        <v>0</v>
      </c>
      <c r="Q134" s="80">
        <f>O134+P134</f>
        <v>0</v>
      </c>
      <c r="R134" s="67">
        <f>ROUND(Q134*I134,2)</f>
        <v>0</v>
      </c>
      <c r="S134" s="40">
        <v>0</v>
      </c>
      <c r="T134" s="40">
        <v>0</v>
      </c>
      <c r="U134" s="41" t="str">
        <f>IF(M134=0,"N/A",Q134/M134-1)</f>
        <v>N/A</v>
      </c>
    </row>
    <row r="135" spans="2:21" x14ac:dyDescent="0.2">
      <c r="B135" s="60" t="s">
        <v>36</v>
      </c>
      <c r="C135" s="31">
        <v>0</v>
      </c>
      <c r="D135" s="31">
        <v>0</v>
      </c>
      <c r="E135" s="32" t="s">
        <v>22</v>
      </c>
      <c r="F135" s="32" t="s">
        <v>22</v>
      </c>
      <c r="G135" s="77"/>
      <c r="H135" s="32" t="s">
        <v>38</v>
      </c>
      <c r="I135" s="61">
        <v>0</v>
      </c>
      <c r="J135" s="61"/>
      <c r="K135" s="78">
        <v>0</v>
      </c>
      <c r="L135" s="79">
        <v>0</v>
      </c>
      <c r="M135" s="64">
        <f>K135+L135</f>
        <v>0</v>
      </c>
      <c r="N135" s="67">
        <f>ROUND(M135*I135,2)</f>
        <v>0</v>
      </c>
      <c r="O135" s="64">
        <f>ROUND(K135*(1+S135),2)</f>
        <v>0</v>
      </c>
      <c r="P135" s="64">
        <f>ROUND(K135*T135,2)</f>
        <v>0</v>
      </c>
      <c r="Q135" s="80">
        <f>O135+P135</f>
        <v>0</v>
      </c>
      <c r="R135" s="67">
        <f>ROUND(Q135*I135,2)</f>
        <v>0</v>
      </c>
      <c r="S135" s="40">
        <v>0</v>
      </c>
      <c r="T135" s="40">
        <v>0</v>
      </c>
      <c r="U135" s="41" t="str">
        <f>IF(M135=0,"N/A",Q135/M135-1)</f>
        <v>N/A</v>
      </c>
    </row>
    <row r="136" spans="2:21" x14ac:dyDescent="0.2">
      <c r="B136" s="60" t="s">
        <v>36</v>
      </c>
      <c r="C136" s="31">
        <v>0</v>
      </c>
      <c r="D136" s="31">
        <v>0</v>
      </c>
      <c r="E136" s="32" t="s">
        <v>22</v>
      </c>
      <c r="F136" s="32" t="s">
        <v>22</v>
      </c>
      <c r="G136" s="77"/>
      <c r="H136" s="32" t="s">
        <v>37</v>
      </c>
      <c r="I136" s="61">
        <v>0</v>
      </c>
      <c r="J136" s="61"/>
      <c r="K136" s="78">
        <v>0</v>
      </c>
      <c r="L136" s="79">
        <v>0</v>
      </c>
      <c r="M136" s="64">
        <f>K136+L136</f>
        <v>0</v>
      </c>
      <c r="N136" s="67">
        <f>ROUND(M136*I136,2)</f>
        <v>0</v>
      </c>
      <c r="O136" s="64">
        <f>ROUND(K136*(1+S136),2)</f>
        <v>0</v>
      </c>
      <c r="P136" s="64">
        <f>ROUND(K136*T136,2)</f>
        <v>0</v>
      </c>
      <c r="Q136" s="80">
        <f>O136+P136</f>
        <v>0</v>
      </c>
      <c r="R136" s="67">
        <f>ROUND(Q136*I136,2)</f>
        <v>0</v>
      </c>
      <c r="S136" s="40">
        <v>0</v>
      </c>
      <c r="T136" s="40">
        <v>0</v>
      </c>
      <c r="U136" s="41" t="str">
        <f>IF(M136=0,"N/A",Q136/M136-1)</f>
        <v>N/A</v>
      </c>
    </row>
    <row r="137" spans="2:21" x14ac:dyDescent="0.2">
      <c r="B137" s="60" t="s">
        <v>36</v>
      </c>
      <c r="C137" s="31">
        <v>0</v>
      </c>
      <c r="D137" s="31">
        <v>0</v>
      </c>
      <c r="E137" s="32" t="s">
        <v>22</v>
      </c>
      <c r="F137" s="32" t="s">
        <v>22</v>
      </c>
      <c r="G137" s="77"/>
      <c r="H137" s="32" t="s">
        <v>38</v>
      </c>
      <c r="I137" s="61">
        <v>0</v>
      </c>
      <c r="J137" s="61"/>
      <c r="K137" s="78">
        <v>0</v>
      </c>
      <c r="L137" s="79">
        <v>0</v>
      </c>
      <c r="M137" s="64">
        <f>K137+L137</f>
        <v>0</v>
      </c>
      <c r="N137" s="67">
        <f>ROUND(M137*I137,2)</f>
        <v>0</v>
      </c>
      <c r="O137" s="64">
        <f>ROUND(K137*(1+S137),2)</f>
        <v>0</v>
      </c>
      <c r="P137" s="64">
        <f>ROUND(K137*T137,2)</f>
        <v>0</v>
      </c>
      <c r="Q137" s="80">
        <f>O137+P137</f>
        <v>0</v>
      </c>
      <c r="R137" s="67">
        <f>ROUND(Q137*I137,2)</f>
        <v>0</v>
      </c>
      <c r="S137" s="40">
        <v>0</v>
      </c>
      <c r="T137" s="40">
        <v>0</v>
      </c>
      <c r="U137" s="41" t="str">
        <f>IF(M137=0,"N/A",Q137/M137-1)</f>
        <v>N/A</v>
      </c>
    </row>
    <row r="138" spans="2:21" x14ac:dyDescent="0.2">
      <c r="B138" s="60" t="s">
        <v>36</v>
      </c>
      <c r="C138" s="31">
        <v>0</v>
      </c>
      <c r="D138" s="31">
        <v>0</v>
      </c>
      <c r="E138" s="32" t="s">
        <v>22</v>
      </c>
      <c r="F138" s="32" t="s">
        <v>22</v>
      </c>
      <c r="G138" s="77"/>
      <c r="H138" s="32" t="s">
        <v>37</v>
      </c>
      <c r="I138" s="61">
        <v>0</v>
      </c>
      <c r="J138" s="61"/>
      <c r="K138" s="78">
        <v>0</v>
      </c>
      <c r="L138" s="79">
        <v>0</v>
      </c>
      <c r="M138" s="64">
        <f>K138+L138</f>
        <v>0</v>
      </c>
      <c r="N138" s="67">
        <f>ROUND(M138*I138,2)</f>
        <v>0</v>
      </c>
      <c r="O138" s="64">
        <f>ROUND(K138*(1+S138),2)</f>
        <v>0</v>
      </c>
      <c r="P138" s="64">
        <f>ROUND(K138*T138,2)</f>
        <v>0</v>
      </c>
      <c r="Q138" s="80">
        <f>O138+P138</f>
        <v>0</v>
      </c>
      <c r="R138" s="67">
        <f>ROUND(Q138*I138,2)</f>
        <v>0</v>
      </c>
      <c r="S138" s="40">
        <v>0</v>
      </c>
      <c r="T138" s="40">
        <v>0</v>
      </c>
      <c r="U138" s="41" t="str">
        <f>IF(M138=0,"N/A",Q138/M138-1)</f>
        <v>N/A</v>
      </c>
    </row>
    <row r="139" spans="2:21" x14ac:dyDescent="0.2">
      <c r="B139" s="60" t="s">
        <v>36</v>
      </c>
      <c r="C139" s="31">
        <v>0</v>
      </c>
      <c r="D139" s="31">
        <v>0</v>
      </c>
      <c r="E139" s="32" t="s">
        <v>22</v>
      </c>
      <c r="F139" s="32" t="s">
        <v>22</v>
      </c>
      <c r="G139" s="77"/>
      <c r="H139" s="32" t="s">
        <v>38</v>
      </c>
      <c r="I139" s="61">
        <v>0</v>
      </c>
      <c r="J139" s="61"/>
      <c r="K139" s="78">
        <v>0</v>
      </c>
      <c r="L139" s="79">
        <v>0</v>
      </c>
      <c r="M139" s="64">
        <f>K139+L139</f>
        <v>0</v>
      </c>
      <c r="N139" s="67">
        <f>ROUND(M139*I139,2)</f>
        <v>0</v>
      </c>
      <c r="O139" s="64">
        <f>ROUND(K139*(1+S139),2)</f>
        <v>0</v>
      </c>
      <c r="P139" s="64">
        <f>ROUND(K139*T139,2)</f>
        <v>0</v>
      </c>
      <c r="Q139" s="80">
        <f>O139+P139</f>
        <v>0</v>
      </c>
      <c r="R139" s="67">
        <f>ROUND(Q139*I139,2)</f>
        <v>0</v>
      </c>
      <c r="S139" s="40">
        <v>0</v>
      </c>
      <c r="T139" s="40">
        <v>0</v>
      </c>
      <c r="U139" s="41" t="str">
        <f>IF(M139=0,"N/A",Q139/M139-1)</f>
        <v>N/A</v>
      </c>
    </row>
    <row r="140" spans="2:21" x14ac:dyDescent="0.2">
      <c r="B140" s="4"/>
      <c r="C140" s="44"/>
      <c r="D140" s="44"/>
      <c r="E140" s="44"/>
      <c r="F140" s="44"/>
      <c r="G140" s="49"/>
      <c r="H140" s="4"/>
      <c r="I140" s="62"/>
      <c r="J140" s="62"/>
      <c r="K140" s="81"/>
      <c r="L140" s="63"/>
      <c r="M140" s="64"/>
      <c r="N140" s="67"/>
      <c r="O140" s="64"/>
      <c r="P140" s="64"/>
      <c r="Q140" s="80"/>
      <c r="R140" s="67"/>
      <c r="S140" s="48"/>
      <c r="T140" s="48"/>
      <c r="U140" s="41"/>
    </row>
    <row r="141" spans="2:21" hidden="1" x14ac:dyDescent="0.2">
      <c r="B141" s="4"/>
      <c r="C141" s="44"/>
      <c r="D141" s="44"/>
      <c r="E141" s="44"/>
      <c r="F141" s="44"/>
      <c r="G141" s="49"/>
      <c r="H141" s="4"/>
      <c r="I141" s="62"/>
      <c r="J141" s="62"/>
      <c r="K141" s="81"/>
      <c r="L141" s="63"/>
      <c r="M141" s="37"/>
      <c r="N141" s="50"/>
      <c r="O141" s="64"/>
      <c r="P141" s="76"/>
      <c r="Q141" s="39"/>
      <c r="R141" s="50"/>
      <c r="S141" s="51"/>
    </row>
    <row r="142" spans="2:21" x14ac:dyDescent="0.2">
      <c r="B142" s="33" t="str">
        <f>"Total " &amp; B127</f>
        <v>Total Vision</v>
      </c>
      <c r="C142" s="52"/>
      <c r="D142" s="53"/>
      <c r="E142" s="54"/>
      <c r="F142" s="54"/>
      <c r="G142" s="15"/>
      <c r="H142" s="18"/>
      <c r="I142" s="65">
        <f>SUM(I128:I141)</f>
        <v>0</v>
      </c>
      <c r="J142" s="56"/>
      <c r="K142" s="57"/>
      <c r="L142" s="57"/>
      <c r="M142" s="57"/>
      <c r="N142" s="38">
        <f>SUM(N128:N141)</f>
        <v>0</v>
      </c>
      <c r="O142" s="57"/>
      <c r="P142" s="57"/>
      <c r="Q142" s="57"/>
      <c r="R142" s="38">
        <f>SUM(R128:R141)</f>
        <v>0</v>
      </c>
      <c r="S142" s="48"/>
      <c r="T142" s="48"/>
      <c r="U142" s="41" t="str">
        <f>IF(N142=0,"N/A",R142/N142-1)</f>
        <v>N/A</v>
      </c>
    </row>
    <row r="143" spans="2:21" x14ac:dyDescent="0.2">
      <c r="B143" s="16"/>
      <c r="C143" s="52"/>
      <c r="D143" s="53"/>
      <c r="E143" s="54"/>
      <c r="F143" s="54"/>
      <c r="G143" s="15"/>
      <c r="H143" s="18"/>
      <c r="I143" s="58"/>
      <c r="J143" s="58"/>
      <c r="K143" s="57"/>
      <c r="L143" s="57"/>
      <c r="M143" s="57"/>
      <c r="N143" s="38"/>
      <c r="O143" s="57"/>
      <c r="P143" s="57"/>
      <c r="Q143" s="57"/>
      <c r="R143" s="38"/>
      <c r="S143" s="48"/>
      <c r="T143" s="48"/>
      <c r="U143" s="41"/>
    </row>
    <row r="144" spans="2:21" x14ac:dyDescent="0.2">
      <c r="B144" s="29" t="s">
        <v>42</v>
      </c>
      <c r="C144" s="66"/>
      <c r="D144" s="53"/>
      <c r="E144" s="53"/>
      <c r="F144" s="53"/>
      <c r="G144" s="16"/>
      <c r="H144" s="4"/>
      <c r="I144" s="28"/>
      <c r="J144" s="28"/>
      <c r="K144" s="6"/>
      <c r="L144" s="6"/>
      <c r="M144" s="6"/>
      <c r="N144" s="7"/>
      <c r="O144" s="6"/>
      <c r="P144" s="6"/>
      <c r="Q144" s="6"/>
      <c r="R144" s="7"/>
      <c r="S144" s="82"/>
    </row>
    <row r="145" spans="2:21" x14ac:dyDescent="0.2">
      <c r="B145" s="60" t="s">
        <v>36</v>
      </c>
      <c r="C145" s="31">
        <v>0</v>
      </c>
      <c r="D145" s="31">
        <v>0</v>
      </c>
      <c r="E145" s="32" t="s">
        <v>22</v>
      </c>
      <c r="F145" s="32" t="s">
        <v>22</v>
      </c>
      <c r="G145" s="77"/>
      <c r="H145" s="32" t="s">
        <v>37</v>
      </c>
      <c r="I145" s="61">
        <v>0</v>
      </c>
      <c r="J145" s="61"/>
      <c r="K145" s="78">
        <v>0</v>
      </c>
      <c r="L145" s="79">
        <v>0</v>
      </c>
      <c r="M145" s="64">
        <f>K145+L145</f>
        <v>0</v>
      </c>
      <c r="N145" s="67">
        <f>ROUND(M145*I145,2)</f>
        <v>0</v>
      </c>
      <c r="O145" s="64">
        <f>ROUND(K145*(1+S145),2)</f>
        <v>0</v>
      </c>
      <c r="P145" s="64">
        <f>ROUND(K145*T145,2)</f>
        <v>0</v>
      </c>
      <c r="Q145" s="80">
        <f>O145+P145</f>
        <v>0</v>
      </c>
      <c r="R145" s="67">
        <f>ROUND(Q145*I145,2)</f>
        <v>0</v>
      </c>
      <c r="S145" s="40">
        <v>0</v>
      </c>
      <c r="T145" s="40">
        <v>0</v>
      </c>
      <c r="U145" s="41" t="str">
        <f>IF(M145=0,"N/A",Q145/M145-1)</f>
        <v>N/A</v>
      </c>
    </row>
    <row r="146" spans="2:21" x14ac:dyDescent="0.2">
      <c r="B146" s="60" t="s">
        <v>36</v>
      </c>
      <c r="C146" s="31">
        <v>0</v>
      </c>
      <c r="D146" s="31">
        <v>0</v>
      </c>
      <c r="E146" s="32" t="s">
        <v>22</v>
      </c>
      <c r="F146" s="32" t="s">
        <v>22</v>
      </c>
      <c r="G146" s="77"/>
      <c r="H146" s="32" t="s">
        <v>38</v>
      </c>
      <c r="I146" s="61">
        <v>0</v>
      </c>
      <c r="J146" s="61"/>
      <c r="K146" s="78">
        <v>0</v>
      </c>
      <c r="L146" s="79">
        <v>0</v>
      </c>
      <c r="M146" s="64">
        <f>K146+L146</f>
        <v>0</v>
      </c>
      <c r="N146" s="67">
        <f>ROUND(M146*I146,2)</f>
        <v>0</v>
      </c>
      <c r="O146" s="64">
        <f>ROUND(K146*(1+S146),2)</f>
        <v>0</v>
      </c>
      <c r="P146" s="64">
        <f>ROUND(K146*T146,2)</f>
        <v>0</v>
      </c>
      <c r="Q146" s="80">
        <f>O146+P146</f>
        <v>0</v>
      </c>
      <c r="R146" s="67">
        <f>ROUND(Q146*I146,2)</f>
        <v>0</v>
      </c>
      <c r="S146" s="40">
        <v>0</v>
      </c>
      <c r="T146" s="40">
        <v>0</v>
      </c>
      <c r="U146" s="41" t="str">
        <f>IF(M146=0,"N/A",Q146/M146-1)</f>
        <v>N/A</v>
      </c>
    </row>
    <row r="147" spans="2:21" x14ac:dyDescent="0.2">
      <c r="B147" s="60" t="s">
        <v>36</v>
      </c>
      <c r="C147" s="31">
        <v>0</v>
      </c>
      <c r="D147" s="31">
        <v>0</v>
      </c>
      <c r="E147" s="32" t="s">
        <v>22</v>
      </c>
      <c r="F147" s="32" t="s">
        <v>22</v>
      </c>
      <c r="G147" s="77"/>
      <c r="H147" s="32" t="s">
        <v>37</v>
      </c>
      <c r="I147" s="61">
        <v>0</v>
      </c>
      <c r="J147" s="61"/>
      <c r="K147" s="78">
        <v>0</v>
      </c>
      <c r="L147" s="79">
        <v>0</v>
      </c>
      <c r="M147" s="64">
        <f>K147+L147</f>
        <v>0</v>
      </c>
      <c r="N147" s="67">
        <f>ROUND(M147*I147,2)</f>
        <v>0</v>
      </c>
      <c r="O147" s="64">
        <f>ROUND(K147*(1+S147),2)</f>
        <v>0</v>
      </c>
      <c r="P147" s="64">
        <f>ROUND(K147*T147,2)</f>
        <v>0</v>
      </c>
      <c r="Q147" s="80">
        <f>O147+P147</f>
        <v>0</v>
      </c>
      <c r="R147" s="67">
        <f>ROUND(Q147*I147,2)</f>
        <v>0</v>
      </c>
      <c r="S147" s="40">
        <v>0</v>
      </c>
      <c r="T147" s="40">
        <v>0</v>
      </c>
      <c r="U147" s="41" t="str">
        <f>IF(M147=0,"N/A",Q147/M147-1)</f>
        <v>N/A</v>
      </c>
    </row>
    <row r="148" spans="2:21" x14ac:dyDescent="0.2">
      <c r="B148" s="60" t="s">
        <v>36</v>
      </c>
      <c r="C148" s="31">
        <v>0</v>
      </c>
      <c r="D148" s="31">
        <v>0</v>
      </c>
      <c r="E148" s="32" t="s">
        <v>22</v>
      </c>
      <c r="F148" s="32" t="s">
        <v>22</v>
      </c>
      <c r="G148" s="77"/>
      <c r="H148" s="32" t="s">
        <v>38</v>
      </c>
      <c r="I148" s="61">
        <v>0</v>
      </c>
      <c r="J148" s="61"/>
      <c r="K148" s="78">
        <v>0</v>
      </c>
      <c r="L148" s="79">
        <v>0</v>
      </c>
      <c r="M148" s="64">
        <f>K148+L148</f>
        <v>0</v>
      </c>
      <c r="N148" s="67">
        <f>ROUND(M148*I148,2)</f>
        <v>0</v>
      </c>
      <c r="O148" s="64">
        <f>ROUND(K148*(1+S148),2)</f>
        <v>0</v>
      </c>
      <c r="P148" s="64">
        <f>ROUND(K148*T148,2)</f>
        <v>0</v>
      </c>
      <c r="Q148" s="80">
        <f>O148+P148</f>
        <v>0</v>
      </c>
      <c r="R148" s="67">
        <f>ROUND(Q148*I148,2)</f>
        <v>0</v>
      </c>
      <c r="S148" s="40">
        <v>0</v>
      </c>
      <c r="T148" s="40">
        <v>0</v>
      </c>
      <c r="U148" s="41" t="str">
        <f>IF(M148=0,"N/A",Q148/M148-1)</f>
        <v>N/A</v>
      </c>
    </row>
    <row r="149" spans="2:21" x14ac:dyDescent="0.2">
      <c r="B149" s="60" t="s">
        <v>36</v>
      </c>
      <c r="C149" s="31">
        <v>0</v>
      </c>
      <c r="D149" s="31">
        <v>0</v>
      </c>
      <c r="E149" s="32" t="s">
        <v>22</v>
      </c>
      <c r="F149" s="32" t="s">
        <v>22</v>
      </c>
      <c r="G149" s="77"/>
      <c r="H149" s="32" t="s">
        <v>37</v>
      </c>
      <c r="I149" s="61">
        <v>0</v>
      </c>
      <c r="J149" s="61"/>
      <c r="K149" s="78">
        <v>0</v>
      </c>
      <c r="L149" s="79">
        <v>0</v>
      </c>
      <c r="M149" s="64">
        <f>K149+L149</f>
        <v>0</v>
      </c>
      <c r="N149" s="67">
        <f>ROUND(M149*I149,2)</f>
        <v>0</v>
      </c>
      <c r="O149" s="64">
        <f>ROUND(K149*(1+S149),2)</f>
        <v>0</v>
      </c>
      <c r="P149" s="64">
        <f>ROUND(K149*T149,2)</f>
        <v>0</v>
      </c>
      <c r="Q149" s="80">
        <f>O149+P149</f>
        <v>0</v>
      </c>
      <c r="R149" s="67">
        <f>ROUND(Q149*I149,2)</f>
        <v>0</v>
      </c>
      <c r="S149" s="40">
        <v>0</v>
      </c>
      <c r="T149" s="40">
        <v>0</v>
      </c>
      <c r="U149" s="41" t="str">
        <f>IF(M149=0,"N/A",Q149/M149-1)</f>
        <v>N/A</v>
      </c>
    </row>
    <row r="150" spans="2:21" x14ac:dyDescent="0.2">
      <c r="B150" s="60" t="s">
        <v>36</v>
      </c>
      <c r="C150" s="31">
        <v>0</v>
      </c>
      <c r="D150" s="31">
        <v>0</v>
      </c>
      <c r="E150" s="32" t="s">
        <v>22</v>
      </c>
      <c r="F150" s="32" t="s">
        <v>22</v>
      </c>
      <c r="G150" s="77"/>
      <c r="H150" s="32" t="s">
        <v>38</v>
      </c>
      <c r="I150" s="61">
        <v>0</v>
      </c>
      <c r="J150" s="61"/>
      <c r="K150" s="78">
        <v>0</v>
      </c>
      <c r="L150" s="79">
        <v>0</v>
      </c>
      <c r="M150" s="64">
        <f>K150+L150</f>
        <v>0</v>
      </c>
      <c r="N150" s="67">
        <f>ROUND(M150*I150,2)</f>
        <v>0</v>
      </c>
      <c r="O150" s="64">
        <f>ROUND(K150*(1+S150),2)</f>
        <v>0</v>
      </c>
      <c r="P150" s="64">
        <f>ROUND(K150*T150,2)</f>
        <v>0</v>
      </c>
      <c r="Q150" s="80">
        <f>O150+P150</f>
        <v>0</v>
      </c>
      <c r="R150" s="67">
        <f>ROUND(Q150*I150,2)</f>
        <v>0</v>
      </c>
      <c r="S150" s="40">
        <v>0</v>
      </c>
      <c r="T150" s="40">
        <v>0</v>
      </c>
      <c r="U150" s="41" t="str">
        <f>IF(M150=0,"N/A",Q150/M150-1)</f>
        <v>N/A</v>
      </c>
    </row>
    <row r="151" spans="2:21" x14ac:dyDescent="0.2">
      <c r="B151" s="60" t="s">
        <v>36</v>
      </c>
      <c r="C151" s="31">
        <v>0</v>
      </c>
      <c r="D151" s="31">
        <v>0</v>
      </c>
      <c r="E151" s="32" t="s">
        <v>22</v>
      </c>
      <c r="F151" s="32" t="s">
        <v>22</v>
      </c>
      <c r="G151" s="77"/>
      <c r="H151" s="32" t="s">
        <v>37</v>
      </c>
      <c r="I151" s="61">
        <v>0</v>
      </c>
      <c r="J151" s="61"/>
      <c r="K151" s="78">
        <v>0</v>
      </c>
      <c r="L151" s="79">
        <v>0</v>
      </c>
      <c r="M151" s="64">
        <f>K151+L151</f>
        <v>0</v>
      </c>
      <c r="N151" s="67">
        <f>ROUND(M151*I151,2)</f>
        <v>0</v>
      </c>
      <c r="O151" s="64">
        <f>ROUND(K151*(1+S151),2)</f>
        <v>0</v>
      </c>
      <c r="P151" s="64">
        <f>ROUND(K151*T151,2)</f>
        <v>0</v>
      </c>
      <c r="Q151" s="80">
        <f>O151+P151</f>
        <v>0</v>
      </c>
      <c r="R151" s="67">
        <f>ROUND(Q151*I151,2)</f>
        <v>0</v>
      </c>
      <c r="S151" s="40">
        <v>0</v>
      </c>
      <c r="T151" s="40">
        <v>0</v>
      </c>
      <c r="U151" s="41" t="str">
        <f>IF(M151=0,"N/A",Q151/M151-1)</f>
        <v>N/A</v>
      </c>
    </row>
    <row r="152" spans="2:21" x14ac:dyDescent="0.2">
      <c r="B152" s="60" t="s">
        <v>36</v>
      </c>
      <c r="C152" s="31">
        <v>0</v>
      </c>
      <c r="D152" s="31">
        <v>0</v>
      </c>
      <c r="E152" s="32" t="s">
        <v>22</v>
      </c>
      <c r="F152" s="32" t="s">
        <v>22</v>
      </c>
      <c r="G152" s="77"/>
      <c r="H152" s="32" t="s">
        <v>38</v>
      </c>
      <c r="I152" s="61">
        <v>0</v>
      </c>
      <c r="J152" s="61"/>
      <c r="K152" s="78">
        <v>0</v>
      </c>
      <c r="L152" s="79">
        <v>0</v>
      </c>
      <c r="M152" s="64">
        <f>K152+L152</f>
        <v>0</v>
      </c>
      <c r="N152" s="67">
        <f>ROUND(M152*I152,2)</f>
        <v>0</v>
      </c>
      <c r="O152" s="64">
        <f>ROUND(K152*(1+S152),2)</f>
        <v>0</v>
      </c>
      <c r="P152" s="64">
        <f>ROUND(K152*T152,2)</f>
        <v>0</v>
      </c>
      <c r="Q152" s="80">
        <f>O152+P152</f>
        <v>0</v>
      </c>
      <c r="R152" s="67">
        <f>ROUND(Q152*I152,2)</f>
        <v>0</v>
      </c>
      <c r="S152" s="40">
        <v>0</v>
      </c>
      <c r="T152" s="40">
        <v>0</v>
      </c>
      <c r="U152" s="41" t="str">
        <f>IF(M152=0,"N/A",Q152/M152-1)</f>
        <v>N/A</v>
      </c>
    </row>
    <row r="153" spans="2:21" x14ac:dyDescent="0.2">
      <c r="B153" s="60" t="s">
        <v>36</v>
      </c>
      <c r="C153" s="31">
        <v>0</v>
      </c>
      <c r="D153" s="31">
        <v>0</v>
      </c>
      <c r="E153" s="32" t="s">
        <v>22</v>
      </c>
      <c r="F153" s="32" t="s">
        <v>22</v>
      </c>
      <c r="G153" s="77"/>
      <c r="H153" s="32" t="s">
        <v>37</v>
      </c>
      <c r="I153" s="61">
        <v>0</v>
      </c>
      <c r="J153" s="61"/>
      <c r="K153" s="78">
        <v>0</v>
      </c>
      <c r="L153" s="79">
        <v>0</v>
      </c>
      <c r="M153" s="64">
        <f>K153+L153</f>
        <v>0</v>
      </c>
      <c r="N153" s="67">
        <f>ROUND(M153*I153,2)</f>
        <v>0</v>
      </c>
      <c r="O153" s="64">
        <f>ROUND(K153*(1+S153),2)</f>
        <v>0</v>
      </c>
      <c r="P153" s="64">
        <f>ROUND(K153*T153,2)</f>
        <v>0</v>
      </c>
      <c r="Q153" s="80">
        <f>O153+P153</f>
        <v>0</v>
      </c>
      <c r="R153" s="67">
        <f>ROUND(Q153*I153,2)</f>
        <v>0</v>
      </c>
      <c r="S153" s="40">
        <v>0</v>
      </c>
      <c r="T153" s="40">
        <v>0</v>
      </c>
      <c r="U153" s="41" t="str">
        <f>IF(M153=0,"N/A",Q153/M153-1)</f>
        <v>N/A</v>
      </c>
    </row>
    <row r="154" spans="2:21" x14ac:dyDescent="0.2">
      <c r="B154" s="60" t="s">
        <v>36</v>
      </c>
      <c r="C154" s="31">
        <v>0</v>
      </c>
      <c r="D154" s="31">
        <v>0</v>
      </c>
      <c r="E154" s="32" t="s">
        <v>22</v>
      </c>
      <c r="F154" s="32" t="s">
        <v>22</v>
      </c>
      <c r="G154" s="77"/>
      <c r="H154" s="32" t="s">
        <v>38</v>
      </c>
      <c r="I154" s="61">
        <v>0</v>
      </c>
      <c r="J154" s="61"/>
      <c r="K154" s="78">
        <v>0</v>
      </c>
      <c r="L154" s="79">
        <v>0</v>
      </c>
      <c r="M154" s="64">
        <f>K154+L154</f>
        <v>0</v>
      </c>
      <c r="N154" s="67">
        <f>ROUND(M154*I154,2)</f>
        <v>0</v>
      </c>
      <c r="O154" s="64">
        <f>ROUND(K154*(1+S154),2)</f>
        <v>0</v>
      </c>
      <c r="P154" s="64">
        <f>ROUND(K154*T154,2)</f>
        <v>0</v>
      </c>
      <c r="Q154" s="80">
        <f>O154+P154</f>
        <v>0</v>
      </c>
      <c r="R154" s="67">
        <f>ROUND(Q154*I154,2)</f>
        <v>0</v>
      </c>
      <c r="S154" s="40">
        <v>0</v>
      </c>
      <c r="T154" s="40">
        <v>0</v>
      </c>
      <c r="U154" s="41" t="str">
        <f>IF(M154=0,"N/A",Q154/M154-1)</f>
        <v>N/A</v>
      </c>
    </row>
    <row r="155" spans="2:21" x14ac:dyDescent="0.2">
      <c r="B155" s="60" t="s">
        <v>36</v>
      </c>
      <c r="C155" s="31">
        <v>0</v>
      </c>
      <c r="D155" s="31">
        <v>0</v>
      </c>
      <c r="E155" s="32" t="s">
        <v>22</v>
      </c>
      <c r="F155" s="32" t="s">
        <v>22</v>
      </c>
      <c r="G155" s="77"/>
      <c r="H155" s="32" t="s">
        <v>37</v>
      </c>
      <c r="I155" s="61">
        <v>0</v>
      </c>
      <c r="J155" s="61"/>
      <c r="K155" s="78">
        <v>0</v>
      </c>
      <c r="L155" s="79">
        <v>0</v>
      </c>
      <c r="M155" s="64">
        <f>K155+L155</f>
        <v>0</v>
      </c>
      <c r="N155" s="67">
        <f>ROUND(M155*I155,2)</f>
        <v>0</v>
      </c>
      <c r="O155" s="64">
        <f>ROUND(K155*(1+S155),2)</f>
        <v>0</v>
      </c>
      <c r="P155" s="64">
        <f>ROUND(K155*T155,2)</f>
        <v>0</v>
      </c>
      <c r="Q155" s="80">
        <f>O155+P155</f>
        <v>0</v>
      </c>
      <c r="R155" s="67">
        <f>ROUND(Q155*I155,2)</f>
        <v>0</v>
      </c>
      <c r="S155" s="40">
        <v>0</v>
      </c>
      <c r="T155" s="40">
        <v>0</v>
      </c>
      <c r="U155" s="41" t="str">
        <f>IF(M155=0,"N/A",Q155/M155-1)</f>
        <v>N/A</v>
      </c>
    </row>
    <row r="156" spans="2:21" x14ac:dyDescent="0.2">
      <c r="B156" s="60" t="s">
        <v>36</v>
      </c>
      <c r="C156" s="31">
        <v>0</v>
      </c>
      <c r="D156" s="31">
        <v>0</v>
      </c>
      <c r="E156" s="32" t="s">
        <v>22</v>
      </c>
      <c r="F156" s="32" t="s">
        <v>22</v>
      </c>
      <c r="G156" s="77"/>
      <c r="H156" s="32" t="s">
        <v>38</v>
      </c>
      <c r="I156" s="61">
        <v>0</v>
      </c>
      <c r="J156" s="61"/>
      <c r="K156" s="78">
        <v>0</v>
      </c>
      <c r="L156" s="79">
        <v>0</v>
      </c>
      <c r="M156" s="64">
        <f>K156+L156</f>
        <v>0</v>
      </c>
      <c r="N156" s="67">
        <f>ROUND(M156*I156,2)</f>
        <v>0</v>
      </c>
      <c r="O156" s="64">
        <f>ROUND(K156*(1+S156),2)</f>
        <v>0</v>
      </c>
      <c r="P156" s="64">
        <f>ROUND(K156*T156,2)</f>
        <v>0</v>
      </c>
      <c r="Q156" s="80">
        <f>O156+P156</f>
        <v>0</v>
      </c>
      <c r="R156" s="67">
        <f>ROUND(Q156*I156,2)</f>
        <v>0</v>
      </c>
      <c r="S156" s="40">
        <v>0</v>
      </c>
      <c r="T156" s="40">
        <v>0</v>
      </c>
      <c r="U156" s="41" t="str">
        <f>IF(M156=0,"N/A",Q156/M156-1)</f>
        <v>N/A</v>
      </c>
    </row>
    <row r="157" spans="2:21" x14ac:dyDescent="0.2">
      <c r="B157" s="4"/>
      <c r="C157" s="44"/>
      <c r="D157" s="44"/>
      <c r="E157" s="44"/>
      <c r="F157" s="44"/>
      <c r="G157" s="49"/>
      <c r="H157" s="4"/>
      <c r="I157" s="62"/>
      <c r="J157" s="62"/>
      <c r="K157" s="81"/>
      <c r="L157" s="63"/>
      <c r="M157" s="64"/>
      <c r="N157" s="67"/>
      <c r="O157" s="64"/>
      <c r="P157" s="64"/>
      <c r="Q157" s="80"/>
      <c r="R157" s="67"/>
      <c r="S157" s="48"/>
      <c r="T157" s="48"/>
      <c r="U157" s="41"/>
    </row>
    <row r="158" spans="2:21" hidden="1" x14ac:dyDescent="0.2">
      <c r="B158" s="4"/>
      <c r="C158" s="44"/>
      <c r="D158" s="44"/>
      <c r="E158" s="44"/>
      <c r="F158" s="44"/>
      <c r="G158" s="49"/>
      <c r="H158" s="4"/>
      <c r="I158" s="62"/>
      <c r="J158" s="62"/>
      <c r="K158" s="81"/>
      <c r="L158" s="63"/>
      <c r="M158" s="37"/>
      <c r="N158" s="50"/>
      <c r="O158" s="64"/>
      <c r="P158" s="76"/>
      <c r="Q158" s="39"/>
      <c r="R158" s="50"/>
      <c r="S158" s="51"/>
    </row>
    <row r="159" spans="2:21" x14ac:dyDescent="0.2">
      <c r="B159" s="33" t="str">
        <f>"Total " &amp; B144</f>
        <v>Total Pool Charges</v>
      </c>
      <c r="C159" s="52"/>
      <c r="D159" s="53"/>
      <c r="E159" s="54"/>
      <c r="F159" s="54"/>
      <c r="G159" s="15"/>
      <c r="H159" s="18"/>
      <c r="I159" s="65">
        <f>SUM(I145:I158)</f>
        <v>0</v>
      </c>
      <c r="J159" s="56"/>
      <c r="K159" s="57"/>
      <c r="L159" s="57"/>
      <c r="M159" s="57"/>
      <c r="N159" s="38">
        <f>SUM(N145:N158)</f>
        <v>0</v>
      </c>
      <c r="O159" s="57"/>
      <c r="P159" s="57"/>
      <c r="Q159" s="57"/>
      <c r="R159" s="38">
        <f>SUM(R145:R158)</f>
        <v>0</v>
      </c>
      <c r="S159" s="48"/>
      <c r="T159" s="48"/>
      <c r="U159" s="41" t="str">
        <f>IF(N159=0,"N/A",R159/N159-1)</f>
        <v>N/A</v>
      </c>
    </row>
    <row r="160" spans="2:21" x14ac:dyDescent="0.2">
      <c r="B160" s="16"/>
      <c r="C160" s="52"/>
      <c r="D160" s="53"/>
      <c r="E160" s="54"/>
      <c r="F160" s="54"/>
      <c r="G160" s="15"/>
      <c r="H160" s="18"/>
      <c r="I160" s="58"/>
      <c r="J160" s="58"/>
      <c r="K160" s="57"/>
      <c r="L160" s="57"/>
      <c r="M160" s="57"/>
      <c r="N160" s="38"/>
      <c r="O160" s="57"/>
      <c r="P160" s="57"/>
      <c r="Q160" s="57"/>
      <c r="R160" s="38"/>
      <c r="S160" s="48"/>
      <c r="T160" s="48"/>
      <c r="U160" s="41"/>
    </row>
    <row r="161" spans="2:21" x14ac:dyDescent="0.2">
      <c r="B161" s="29" t="s">
        <v>43</v>
      </c>
      <c r="C161" s="52"/>
      <c r="D161" s="53"/>
      <c r="E161" s="54"/>
      <c r="F161" s="54"/>
      <c r="G161" s="15"/>
      <c r="H161" s="18"/>
      <c r="I161" s="56"/>
      <c r="J161" s="56"/>
      <c r="K161" s="57"/>
      <c r="L161" s="57"/>
      <c r="M161" s="57"/>
      <c r="N161" s="38"/>
      <c r="O161" s="57"/>
      <c r="P161" s="57"/>
      <c r="Q161" s="57"/>
      <c r="R161" s="38"/>
      <c r="S161" s="48"/>
      <c r="T161" s="48"/>
      <c r="U161" s="41"/>
    </row>
    <row r="162" spans="2:21" x14ac:dyDescent="0.2">
      <c r="B162" s="60" t="s">
        <v>44</v>
      </c>
      <c r="C162" s="31">
        <v>0</v>
      </c>
      <c r="D162" s="32" t="s">
        <v>22</v>
      </c>
      <c r="E162" s="32" t="s">
        <v>22</v>
      </c>
      <c r="F162" s="32" t="s">
        <v>22</v>
      </c>
      <c r="G162" s="77"/>
      <c r="H162" s="32" t="s">
        <v>37</v>
      </c>
      <c r="I162" s="61">
        <v>0</v>
      </c>
      <c r="J162" s="61"/>
      <c r="K162" s="78">
        <v>0</v>
      </c>
      <c r="L162" s="79">
        <v>0</v>
      </c>
      <c r="M162" s="64">
        <f>K162+L162</f>
        <v>0</v>
      </c>
      <c r="N162" s="67">
        <f>ROUND(M162*I162,2)</f>
        <v>0</v>
      </c>
      <c r="O162" s="64">
        <f>ROUND(K162*(1+S162),2)</f>
        <v>0</v>
      </c>
      <c r="P162" s="64">
        <f>ROUND(K162*T162,2)</f>
        <v>0</v>
      </c>
      <c r="Q162" s="80">
        <f>O162+P162</f>
        <v>0</v>
      </c>
      <c r="R162" s="67">
        <f>ROUND(Q162*I162,2)</f>
        <v>0</v>
      </c>
      <c r="S162" s="40">
        <v>0</v>
      </c>
      <c r="T162" s="40">
        <v>0</v>
      </c>
      <c r="U162" s="41" t="str">
        <f>IF(M162=0,"N/A",Q162/M162-1)</f>
        <v>N/A</v>
      </c>
    </row>
    <row r="163" spans="2:21" x14ac:dyDescent="0.2">
      <c r="B163" s="60" t="s">
        <v>44</v>
      </c>
      <c r="C163" s="31">
        <v>0</v>
      </c>
      <c r="D163" s="32" t="s">
        <v>22</v>
      </c>
      <c r="E163" s="32" t="s">
        <v>22</v>
      </c>
      <c r="F163" s="32" t="s">
        <v>22</v>
      </c>
      <c r="G163" s="77"/>
      <c r="H163" s="32" t="s">
        <v>38</v>
      </c>
      <c r="I163" s="61">
        <v>0</v>
      </c>
      <c r="J163" s="61"/>
      <c r="K163" s="78">
        <v>0</v>
      </c>
      <c r="L163" s="79">
        <v>0</v>
      </c>
      <c r="M163" s="64">
        <f>K163+L163</f>
        <v>0</v>
      </c>
      <c r="N163" s="67">
        <f>ROUND(M163*I163,2)</f>
        <v>0</v>
      </c>
      <c r="O163" s="64">
        <f>ROUND(K163*(1+S163),2)</f>
        <v>0</v>
      </c>
      <c r="P163" s="64">
        <f>ROUND(K163*T163,2)</f>
        <v>0</v>
      </c>
      <c r="Q163" s="80">
        <f>O163+P163</f>
        <v>0</v>
      </c>
      <c r="R163" s="67">
        <f>ROUND(Q163*I163,2)</f>
        <v>0</v>
      </c>
      <c r="S163" s="40">
        <v>0</v>
      </c>
      <c r="T163" s="40">
        <v>0</v>
      </c>
      <c r="U163" s="41" t="str">
        <f>IF(M163=0,"N/A",Q163/M163-1)</f>
        <v>N/A</v>
      </c>
    </row>
    <row r="164" spans="2:21" x14ac:dyDescent="0.2">
      <c r="B164" s="60" t="s">
        <v>44</v>
      </c>
      <c r="C164" s="31">
        <v>0</v>
      </c>
      <c r="D164" s="31">
        <v>0</v>
      </c>
      <c r="E164" s="32" t="s">
        <v>22</v>
      </c>
      <c r="F164" s="32" t="s">
        <v>22</v>
      </c>
      <c r="G164" s="77"/>
      <c r="H164" s="32" t="s">
        <v>37</v>
      </c>
      <c r="I164" s="61">
        <v>0</v>
      </c>
      <c r="J164" s="61"/>
      <c r="K164" s="78">
        <v>0</v>
      </c>
      <c r="L164" s="79">
        <v>0</v>
      </c>
      <c r="M164" s="64">
        <f>K164+L164</f>
        <v>0</v>
      </c>
      <c r="N164" s="67">
        <f>ROUND(M164*I164,2)</f>
        <v>0</v>
      </c>
      <c r="O164" s="64">
        <f>ROUND(K164*(1+S164),2)</f>
        <v>0</v>
      </c>
      <c r="P164" s="64">
        <f>ROUND(K164*T164,2)</f>
        <v>0</v>
      </c>
      <c r="Q164" s="80">
        <f>O164+P164</f>
        <v>0</v>
      </c>
      <c r="R164" s="67">
        <f>ROUND(Q164*I164,2)</f>
        <v>0</v>
      </c>
      <c r="S164" s="40">
        <v>0</v>
      </c>
      <c r="T164" s="40">
        <v>0</v>
      </c>
      <c r="U164" s="41" t="str">
        <f>IF(M164=0,"N/A",Q164/M164-1)</f>
        <v>N/A</v>
      </c>
    </row>
    <row r="165" spans="2:21" x14ac:dyDescent="0.2">
      <c r="B165" s="60" t="s">
        <v>44</v>
      </c>
      <c r="C165" s="31">
        <v>0</v>
      </c>
      <c r="D165" s="31">
        <v>0</v>
      </c>
      <c r="E165" s="32" t="s">
        <v>22</v>
      </c>
      <c r="F165" s="32" t="s">
        <v>22</v>
      </c>
      <c r="G165" s="77"/>
      <c r="H165" s="32" t="s">
        <v>38</v>
      </c>
      <c r="I165" s="61">
        <v>0</v>
      </c>
      <c r="J165" s="61"/>
      <c r="K165" s="78">
        <v>0</v>
      </c>
      <c r="L165" s="79">
        <v>0</v>
      </c>
      <c r="M165" s="64">
        <f>K165+L165</f>
        <v>0</v>
      </c>
      <c r="N165" s="67">
        <f>ROUND(M165*I165,2)</f>
        <v>0</v>
      </c>
      <c r="O165" s="64">
        <f>ROUND(K165*(1+S165),2)</f>
        <v>0</v>
      </c>
      <c r="P165" s="64">
        <f>ROUND(K165*T165,2)</f>
        <v>0</v>
      </c>
      <c r="Q165" s="80">
        <f>O165+P165</f>
        <v>0</v>
      </c>
      <c r="R165" s="67">
        <f>ROUND(Q165*I165,2)</f>
        <v>0</v>
      </c>
      <c r="S165" s="40">
        <v>0</v>
      </c>
      <c r="T165" s="40">
        <v>0</v>
      </c>
      <c r="U165" s="41" t="str">
        <f>IF(M165=0,"N/A",Q165/M165-1)</f>
        <v>N/A</v>
      </c>
    </row>
    <row r="166" spans="2:21" x14ac:dyDescent="0.2">
      <c r="B166" s="60" t="s">
        <v>44</v>
      </c>
      <c r="C166" s="31">
        <v>0</v>
      </c>
      <c r="D166" s="31">
        <v>0</v>
      </c>
      <c r="E166" s="32" t="s">
        <v>22</v>
      </c>
      <c r="F166" s="32" t="s">
        <v>22</v>
      </c>
      <c r="G166" s="77"/>
      <c r="H166" s="32" t="s">
        <v>37</v>
      </c>
      <c r="I166" s="61">
        <v>0</v>
      </c>
      <c r="J166" s="61"/>
      <c r="K166" s="78">
        <v>0</v>
      </c>
      <c r="L166" s="79">
        <v>0</v>
      </c>
      <c r="M166" s="64">
        <f>K166+L166</f>
        <v>0</v>
      </c>
      <c r="N166" s="67">
        <f>ROUND(M166*I166,2)</f>
        <v>0</v>
      </c>
      <c r="O166" s="64">
        <f>ROUND(K166*(1+S166),2)</f>
        <v>0</v>
      </c>
      <c r="P166" s="64">
        <f>ROUND(K166*T166,2)</f>
        <v>0</v>
      </c>
      <c r="Q166" s="80">
        <f>O166+P166</f>
        <v>0</v>
      </c>
      <c r="R166" s="67">
        <f>ROUND(Q166*I166,2)</f>
        <v>0</v>
      </c>
      <c r="S166" s="40">
        <v>0</v>
      </c>
      <c r="T166" s="40">
        <v>0</v>
      </c>
      <c r="U166" s="41" t="str">
        <f>IF(M166=0,"N/A",Q166/M166-1)</f>
        <v>N/A</v>
      </c>
    </row>
    <row r="167" spans="2:21" x14ac:dyDescent="0.2">
      <c r="B167" s="60" t="s">
        <v>44</v>
      </c>
      <c r="C167" s="31">
        <v>0</v>
      </c>
      <c r="D167" s="31">
        <v>0</v>
      </c>
      <c r="E167" s="32" t="s">
        <v>22</v>
      </c>
      <c r="F167" s="32" t="s">
        <v>22</v>
      </c>
      <c r="G167" s="77"/>
      <c r="H167" s="32" t="s">
        <v>38</v>
      </c>
      <c r="I167" s="61">
        <v>0</v>
      </c>
      <c r="J167" s="61"/>
      <c r="K167" s="78">
        <v>0</v>
      </c>
      <c r="L167" s="79">
        <v>0</v>
      </c>
      <c r="M167" s="64">
        <f>K167+L167</f>
        <v>0</v>
      </c>
      <c r="N167" s="67">
        <f>ROUND(M167*I167,2)</f>
        <v>0</v>
      </c>
      <c r="O167" s="64">
        <f>ROUND(K167*(1+S167),2)</f>
        <v>0</v>
      </c>
      <c r="P167" s="64">
        <f>ROUND(K167*T167,2)</f>
        <v>0</v>
      </c>
      <c r="Q167" s="80">
        <f>O167+P167</f>
        <v>0</v>
      </c>
      <c r="R167" s="67">
        <f>ROUND(Q167*I167,2)</f>
        <v>0</v>
      </c>
      <c r="S167" s="40">
        <v>0</v>
      </c>
      <c r="T167" s="40">
        <v>0</v>
      </c>
      <c r="U167" s="41" t="str">
        <f>IF(M167=0,"N/A",Q167/M167-1)</f>
        <v>N/A</v>
      </c>
    </row>
    <row r="168" spans="2:21" x14ac:dyDescent="0.2">
      <c r="B168" s="60" t="s">
        <v>44</v>
      </c>
      <c r="C168" s="31">
        <v>0</v>
      </c>
      <c r="D168" s="31">
        <v>0</v>
      </c>
      <c r="E168" s="32" t="s">
        <v>22</v>
      </c>
      <c r="F168" s="32" t="s">
        <v>22</v>
      </c>
      <c r="G168" s="77"/>
      <c r="H168" s="32" t="s">
        <v>37</v>
      </c>
      <c r="I168" s="61">
        <v>0</v>
      </c>
      <c r="J168" s="61"/>
      <c r="K168" s="78">
        <v>0</v>
      </c>
      <c r="L168" s="79">
        <v>0</v>
      </c>
      <c r="M168" s="64">
        <f>K168+L168</f>
        <v>0</v>
      </c>
      <c r="N168" s="67">
        <f>ROUND(M168*I168,2)</f>
        <v>0</v>
      </c>
      <c r="O168" s="64">
        <f>ROUND(K168*(1+S168),2)</f>
        <v>0</v>
      </c>
      <c r="P168" s="64">
        <f>ROUND(K168*T168,2)</f>
        <v>0</v>
      </c>
      <c r="Q168" s="80">
        <f>O168+P168</f>
        <v>0</v>
      </c>
      <c r="R168" s="67">
        <f>ROUND(Q168*I168,2)</f>
        <v>0</v>
      </c>
      <c r="S168" s="40">
        <v>0</v>
      </c>
      <c r="T168" s="40">
        <v>0</v>
      </c>
      <c r="U168" s="41" t="str">
        <f>IF(M168=0,"N/A",Q168/M168-1)</f>
        <v>N/A</v>
      </c>
    </row>
    <row r="169" spans="2:21" x14ac:dyDescent="0.2">
      <c r="B169" s="60" t="s">
        <v>44</v>
      </c>
      <c r="C169" s="31">
        <v>0</v>
      </c>
      <c r="D169" s="31">
        <v>0</v>
      </c>
      <c r="E169" s="32" t="s">
        <v>22</v>
      </c>
      <c r="F169" s="32" t="s">
        <v>22</v>
      </c>
      <c r="G169" s="77"/>
      <c r="H169" s="32" t="s">
        <v>38</v>
      </c>
      <c r="I169" s="61">
        <v>0</v>
      </c>
      <c r="J169" s="61"/>
      <c r="K169" s="78">
        <v>0</v>
      </c>
      <c r="L169" s="79">
        <v>0</v>
      </c>
      <c r="M169" s="64">
        <f>K169+L169</f>
        <v>0</v>
      </c>
      <c r="N169" s="67">
        <f>ROUND(M169*I169,2)</f>
        <v>0</v>
      </c>
      <c r="O169" s="64">
        <f>ROUND(K169*(1+S169),2)</f>
        <v>0</v>
      </c>
      <c r="P169" s="64">
        <f>ROUND(K169*T169,2)</f>
        <v>0</v>
      </c>
      <c r="Q169" s="80">
        <f>O169+P169</f>
        <v>0</v>
      </c>
      <c r="R169" s="67">
        <f>ROUND(Q169*I169,2)</f>
        <v>0</v>
      </c>
      <c r="S169" s="40">
        <v>0</v>
      </c>
      <c r="T169" s="40">
        <v>0</v>
      </c>
      <c r="U169" s="41" t="str">
        <f>IF(M169=0,"N/A",Q169/M169-1)</f>
        <v>N/A</v>
      </c>
    </row>
    <row r="170" spans="2:21" x14ac:dyDescent="0.2">
      <c r="B170" s="60" t="s">
        <v>44</v>
      </c>
      <c r="C170" s="31">
        <v>0</v>
      </c>
      <c r="D170" s="31">
        <v>0</v>
      </c>
      <c r="E170" s="32" t="s">
        <v>22</v>
      </c>
      <c r="F170" s="32" t="s">
        <v>22</v>
      </c>
      <c r="G170" s="77"/>
      <c r="H170" s="32" t="s">
        <v>37</v>
      </c>
      <c r="I170" s="61">
        <v>0</v>
      </c>
      <c r="J170" s="61"/>
      <c r="K170" s="78">
        <v>0</v>
      </c>
      <c r="L170" s="79">
        <v>0</v>
      </c>
      <c r="M170" s="64">
        <f>K170+L170</f>
        <v>0</v>
      </c>
      <c r="N170" s="67">
        <f>ROUND(M170*I170,2)</f>
        <v>0</v>
      </c>
      <c r="O170" s="64">
        <f>ROUND(K170*(1+S170),2)</f>
        <v>0</v>
      </c>
      <c r="P170" s="64">
        <f>ROUND(K170*T170,2)</f>
        <v>0</v>
      </c>
      <c r="Q170" s="80">
        <f>O170+P170</f>
        <v>0</v>
      </c>
      <c r="R170" s="67">
        <f>ROUND(Q170*I170,2)</f>
        <v>0</v>
      </c>
      <c r="S170" s="40">
        <v>0</v>
      </c>
      <c r="T170" s="40">
        <v>0</v>
      </c>
      <c r="U170" s="41" t="str">
        <f>IF(M170=0,"N/A",Q170/M170-1)</f>
        <v>N/A</v>
      </c>
    </row>
    <row r="171" spans="2:21" x14ac:dyDescent="0.2">
      <c r="B171" s="60" t="s">
        <v>44</v>
      </c>
      <c r="C171" s="31">
        <v>0</v>
      </c>
      <c r="D171" s="31">
        <v>0</v>
      </c>
      <c r="E171" s="32" t="s">
        <v>22</v>
      </c>
      <c r="F171" s="32" t="s">
        <v>22</v>
      </c>
      <c r="G171" s="77"/>
      <c r="H171" s="32" t="s">
        <v>38</v>
      </c>
      <c r="I171" s="61">
        <v>0</v>
      </c>
      <c r="J171" s="61"/>
      <c r="K171" s="78">
        <v>0</v>
      </c>
      <c r="L171" s="79">
        <v>0</v>
      </c>
      <c r="M171" s="64">
        <f>K171+L171</f>
        <v>0</v>
      </c>
      <c r="N171" s="67">
        <f>ROUND(M171*I171,2)</f>
        <v>0</v>
      </c>
      <c r="O171" s="64">
        <f>ROUND(K171*(1+S171),2)</f>
        <v>0</v>
      </c>
      <c r="P171" s="64">
        <f>ROUND(K171*T171,2)</f>
        <v>0</v>
      </c>
      <c r="Q171" s="80">
        <f>O171+P171</f>
        <v>0</v>
      </c>
      <c r="R171" s="67">
        <f>ROUND(Q171*I171,2)</f>
        <v>0</v>
      </c>
      <c r="S171" s="40">
        <v>0</v>
      </c>
      <c r="T171" s="40">
        <v>0</v>
      </c>
      <c r="U171" s="41" t="str">
        <f>IF(M171=0,"N/A",Q171/M171-1)</f>
        <v>N/A</v>
      </c>
    </row>
    <row r="172" spans="2:21" x14ac:dyDescent="0.2">
      <c r="B172" s="60" t="s">
        <v>44</v>
      </c>
      <c r="C172" s="31">
        <v>0</v>
      </c>
      <c r="D172" s="31">
        <v>0</v>
      </c>
      <c r="E172" s="32" t="s">
        <v>22</v>
      </c>
      <c r="F172" s="32" t="s">
        <v>22</v>
      </c>
      <c r="G172" s="77"/>
      <c r="H172" s="32" t="s">
        <v>37</v>
      </c>
      <c r="I172" s="61">
        <v>0</v>
      </c>
      <c r="J172" s="61"/>
      <c r="K172" s="78">
        <v>0</v>
      </c>
      <c r="L172" s="79">
        <v>0</v>
      </c>
      <c r="M172" s="64">
        <f>K172+L172</f>
        <v>0</v>
      </c>
      <c r="N172" s="67">
        <f>ROUND(M172*I172,2)</f>
        <v>0</v>
      </c>
      <c r="O172" s="64">
        <f>ROUND(K172*(1+S172),2)</f>
        <v>0</v>
      </c>
      <c r="P172" s="64">
        <f>ROUND(K172*T172,2)</f>
        <v>0</v>
      </c>
      <c r="Q172" s="80">
        <f>O172+P172</f>
        <v>0</v>
      </c>
      <c r="R172" s="67">
        <f>ROUND(Q172*I172,2)</f>
        <v>0</v>
      </c>
      <c r="S172" s="40">
        <v>0</v>
      </c>
      <c r="T172" s="40">
        <v>0</v>
      </c>
      <c r="U172" s="41" t="str">
        <f>IF(M172=0,"N/A",Q172/M172-1)</f>
        <v>N/A</v>
      </c>
    </row>
    <row r="173" spans="2:21" x14ac:dyDescent="0.2">
      <c r="B173" s="60" t="s">
        <v>44</v>
      </c>
      <c r="C173" s="31">
        <v>0</v>
      </c>
      <c r="D173" s="31">
        <v>0</v>
      </c>
      <c r="E173" s="32" t="s">
        <v>22</v>
      </c>
      <c r="F173" s="32" t="s">
        <v>22</v>
      </c>
      <c r="G173" s="77"/>
      <c r="H173" s="32" t="s">
        <v>38</v>
      </c>
      <c r="I173" s="61">
        <v>0</v>
      </c>
      <c r="J173" s="61"/>
      <c r="K173" s="78">
        <v>0</v>
      </c>
      <c r="L173" s="79">
        <v>0</v>
      </c>
      <c r="M173" s="64">
        <f>K173+L173</f>
        <v>0</v>
      </c>
      <c r="N173" s="67">
        <f>ROUND(M173*I173,2)</f>
        <v>0</v>
      </c>
      <c r="O173" s="64">
        <f>ROUND(K173*(1+S173),2)</f>
        <v>0</v>
      </c>
      <c r="P173" s="64">
        <f>ROUND(K173*T173,2)</f>
        <v>0</v>
      </c>
      <c r="Q173" s="80">
        <f>O173+P173</f>
        <v>0</v>
      </c>
      <c r="R173" s="67">
        <f>ROUND(Q173*I173,2)</f>
        <v>0</v>
      </c>
      <c r="S173" s="40">
        <v>0</v>
      </c>
      <c r="T173" s="40">
        <v>0</v>
      </c>
      <c r="U173" s="41" t="str">
        <f>IF(M173=0,"N/A",Q173/M173-1)</f>
        <v>N/A</v>
      </c>
    </row>
    <row r="174" spans="2:21" x14ac:dyDescent="0.2">
      <c r="B174" s="4"/>
      <c r="C174" s="44"/>
      <c r="D174" s="44"/>
      <c r="E174" s="44"/>
      <c r="F174" s="44"/>
      <c r="G174" s="49"/>
      <c r="H174" s="4"/>
      <c r="I174" s="62"/>
      <c r="J174" s="62"/>
      <c r="K174" s="81"/>
      <c r="L174" s="63"/>
      <c r="M174" s="64"/>
      <c r="N174" s="67"/>
      <c r="O174" s="64"/>
      <c r="P174" s="64"/>
      <c r="Q174" s="80"/>
      <c r="R174" s="67"/>
      <c r="S174" s="48"/>
      <c r="T174" s="48"/>
      <c r="U174" s="41"/>
    </row>
    <row r="175" spans="2:21" hidden="1" x14ac:dyDescent="0.2">
      <c r="B175" s="4"/>
      <c r="C175" s="44"/>
      <c r="D175" s="44"/>
      <c r="E175" s="44"/>
      <c r="F175" s="44"/>
      <c r="G175" s="49"/>
      <c r="H175" s="4"/>
      <c r="I175" s="62"/>
      <c r="J175" s="62"/>
      <c r="K175" s="81"/>
      <c r="L175" s="63"/>
      <c r="M175" s="37"/>
      <c r="N175" s="50"/>
      <c r="O175" s="64"/>
      <c r="P175" s="76"/>
      <c r="Q175" s="39"/>
      <c r="R175" s="50"/>
      <c r="S175" s="51"/>
    </row>
    <row r="176" spans="2:21" x14ac:dyDescent="0.2">
      <c r="B176" s="33" t="str">
        <f>"Total " &amp; B161</f>
        <v>Total Dental Care</v>
      </c>
      <c r="C176" s="52"/>
      <c r="D176" s="53"/>
      <c r="E176" s="54"/>
      <c r="F176" s="54"/>
      <c r="G176" s="15"/>
      <c r="H176" s="18"/>
      <c r="I176" s="65">
        <f>SUM(I162:I175)</f>
        <v>0</v>
      </c>
      <c r="J176" s="56"/>
      <c r="K176" s="57"/>
      <c r="L176" s="57"/>
      <c r="M176" s="57"/>
      <c r="N176" s="38">
        <f>SUM(N162:N175)</f>
        <v>0</v>
      </c>
      <c r="O176" s="57"/>
      <c r="P176" s="57"/>
      <c r="Q176" s="57"/>
      <c r="R176" s="38">
        <f>SUM(R162:R175)</f>
        <v>0</v>
      </c>
      <c r="S176" s="48"/>
      <c r="T176" s="48"/>
      <c r="U176" s="41" t="str">
        <f>IF(N176=0,"N/A",R176/N176-1)</f>
        <v>N/A</v>
      </c>
    </row>
    <row r="177" spans="2:21" x14ac:dyDescent="0.2">
      <c r="B177" s="15"/>
      <c r="C177" s="52"/>
      <c r="D177" s="53"/>
      <c r="E177" s="54"/>
      <c r="F177" s="54"/>
      <c r="G177" s="15"/>
      <c r="H177" s="18"/>
      <c r="I177" s="58"/>
      <c r="J177" s="58"/>
      <c r="K177" s="57"/>
      <c r="L177" s="57"/>
      <c r="M177" s="57"/>
      <c r="N177" s="59"/>
      <c r="O177" s="57"/>
      <c r="P177" s="57"/>
      <c r="Q177" s="57"/>
      <c r="R177" s="59"/>
      <c r="S177" s="41"/>
    </row>
    <row r="178" spans="2:21" x14ac:dyDescent="0.2">
      <c r="B178" s="29" t="s">
        <v>45</v>
      </c>
      <c r="C178" s="66"/>
      <c r="D178" s="53"/>
      <c r="E178" s="53"/>
      <c r="F178" s="53"/>
      <c r="G178" s="16"/>
      <c r="H178" s="4"/>
      <c r="I178" s="28"/>
      <c r="J178" s="28"/>
      <c r="K178" s="6"/>
      <c r="L178" s="6"/>
      <c r="M178" s="6"/>
      <c r="N178" s="7"/>
      <c r="O178" s="6"/>
      <c r="P178" s="6"/>
      <c r="Q178" s="6"/>
      <c r="R178" s="7"/>
      <c r="S178" s="8"/>
    </row>
    <row r="179" spans="2:21" x14ac:dyDescent="0.2">
      <c r="B179" s="60" t="s">
        <v>45</v>
      </c>
      <c r="C179" s="31">
        <v>0</v>
      </c>
      <c r="D179" s="31">
        <v>0</v>
      </c>
      <c r="E179" s="32" t="s">
        <v>22</v>
      </c>
      <c r="F179" s="32" t="s">
        <v>22</v>
      </c>
      <c r="G179" s="77"/>
      <c r="H179" s="32" t="s">
        <v>26</v>
      </c>
      <c r="I179" s="61">
        <v>0</v>
      </c>
      <c r="J179" s="61"/>
      <c r="K179" s="79">
        <v>0</v>
      </c>
      <c r="L179" s="79"/>
      <c r="M179" s="64">
        <f>K179</f>
        <v>0</v>
      </c>
      <c r="N179" s="67">
        <f>ROUND(M179*I179,2)</f>
        <v>0</v>
      </c>
      <c r="O179" s="64">
        <f>ROUND(K179*(1+S179),2)</f>
        <v>0</v>
      </c>
      <c r="P179" s="64"/>
      <c r="Q179" s="57">
        <f>O179+P179</f>
        <v>0</v>
      </c>
      <c r="R179" s="67">
        <f>ROUND(Q179*I179,2)</f>
        <v>0</v>
      </c>
      <c r="S179" s="40">
        <v>0</v>
      </c>
      <c r="T179" s="40"/>
      <c r="U179" s="41" t="str">
        <f>IF(M179=0,"N/A",Q179/M179-1)</f>
        <v>N/A</v>
      </c>
    </row>
    <row r="180" spans="2:21" x14ac:dyDescent="0.2">
      <c r="B180" s="60" t="s">
        <v>45</v>
      </c>
      <c r="C180" s="31">
        <v>0</v>
      </c>
      <c r="D180" s="31">
        <v>0</v>
      </c>
      <c r="E180" s="32" t="s">
        <v>22</v>
      </c>
      <c r="F180" s="32" t="s">
        <v>22</v>
      </c>
      <c r="G180" s="77"/>
      <c r="H180" s="32" t="s">
        <v>26</v>
      </c>
      <c r="I180" s="61">
        <v>0</v>
      </c>
      <c r="J180" s="61"/>
      <c r="K180" s="79">
        <v>0</v>
      </c>
      <c r="L180" s="79"/>
      <c r="M180" s="64">
        <f>K180</f>
        <v>0</v>
      </c>
      <c r="N180" s="67">
        <f>ROUND(M180*I180,2)</f>
        <v>0</v>
      </c>
      <c r="O180" s="64">
        <f>ROUND(K180*(1+S180),2)</f>
        <v>0</v>
      </c>
      <c r="P180" s="64"/>
      <c r="Q180" s="57">
        <f>O180+P180</f>
        <v>0</v>
      </c>
      <c r="R180" s="67">
        <f>ROUND(Q180*I180,2)</f>
        <v>0</v>
      </c>
      <c r="S180" s="40">
        <v>0</v>
      </c>
      <c r="T180" s="40"/>
      <c r="U180" s="41" t="str">
        <f>IF(M180=0,"N/A",Q180/M180-1)</f>
        <v>N/A</v>
      </c>
    </row>
    <row r="181" spans="2:21" x14ac:dyDescent="0.2">
      <c r="B181" s="60" t="s">
        <v>45</v>
      </c>
      <c r="C181" s="31">
        <v>0</v>
      </c>
      <c r="D181" s="31">
        <v>0</v>
      </c>
      <c r="E181" s="32" t="s">
        <v>22</v>
      </c>
      <c r="F181" s="32" t="s">
        <v>22</v>
      </c>
      <c r="G181" s="77"/>
      <c r="H181" s="32" t="s">
        <v>26</v>
      </c>
      <c r="I181" s="61">
        <v>0</v>
      </c>
      <c r="J181" s="61"/>
      <c r="K181" s="79">
        <v>0</v>
      </c>
      <c r="L181" s="79"/>
      <c r="M181" s="64">
        <f>K181</f>
        <v>0</v>
      </c>
      <c r="N181" s="67">
        <f>ROUND(M181*I181,2)</f>
        <v>0</v>
      </c>
      <c r="O181" s="64">
        <f>ROUND(K181*(1+S181),2)</f>
        <v>0</v>
      </c>
      <c r="P181" s="64"/>
      <c r="Q181" s="57">
        <f>O181+P181</f>
        <v>0</v>
      </c>
      <c r="R181" s="67">
        <f>ROUND(Q181*I181,2)</f>
        <v>0</v>
      </c>
      <c r="S181" s="40">
        <v>0</v>
      </c>
      <c r="T181" s="40"/>
      <c r="U181" s="41" t="str">
        <f>IF(M181=0,"N/A",Q181/M181-1)</f>
        <v>N/A</v>
      </c>
    </row>
    <row r="182" spans="2:21" x14ac:dyDescent="0.2">
      <c r="B182" s="60" t="s">
        <v>45</v>
      </c>
      <c r="C182" s="31">
        <v>0</v>
      </c>
      <c r="D182" s="31">
        <v>0</v>
      </c>
      <c r="E182" s="32" t="s">
        <v>22</v>
      </c>
      <c r="F182" s="32" t="s">
        <v>22</v>
      </c>
      <c r="G182" s="77"/>
      <c r="H182" s="32" t="s">
        <v>26</v>
      </c>
      <c r="I182" s="61">
        <v>0</v>
      </c>
      <c r="J182" s="61"/>
      <c r="K182" s="79">
        <v>0</v>
      </c>
      <c r="L182" s="79"/>
      <c r="M182" s="64">
        <f>K182</f>
        <v>0</v>
      </c>
      <c r="N182" s="67">
        <f>ROUND(M182*I182,2)</f>
        <v>0</v>
      </c>
      <c r="O182" s="64">
        <f>ROUND(K182*(1+S182),2)</f>
        <v>0</v>
      </c>
      <c r="P182" s="64"/>
      <c r="Q182" s="57">
        <f>O182+P182</f>
        <v>0</v>
      </c>
      <c r="R182" s="67">
        <f>ROUND(Q182*I182,2)</f>
        <v>0</v>
      </c>
      <c r="S182" s="40">
        <v>0</v>
      </c>
      <c r="T182" s="40"/>
      <c r="U182" s="41" t="str">
        <f>IF(M182=0,"N/A",Q182/M182-1)</f>
        <v>N/A</v>
      </c>
    </row>
    <row r="183" spans="2:21" x14ac:dyDescent="0.2">
      <c r="B183" s="60" t="s">
        <v>45</v>
      </c>
      <c r="C183" s="31">
        <v>0</v>
      </c>
      <c r="D183" s="31">
        <v>0</v>
      </c>
      <c r="E183" s="32" t="s">
        <v>22</v>
      </c>
      <c r="F183" s="32" t="s">
        <v>22</v>
      </c>
      <c r="G183" s="77"/>
      <c r="H183" s="32" t="s">
        <v>26</v>
      </c>
      <c r="I183" s="61">
        <v>0</v>
      </c>
      <c r="J183" s="61"/>
      <c r="K183" s="79">
        <v>0</v>
      </c>
      <c r="L183" s="79"/>
      <c r="M183" s="64">
        <f>K183</f>
        <v>0</v>
      </c>
      <c r="N183" s="67">
        <f>ROUND(M183*I183,2)</f>
        <v>0</v>
      </c>
      <c r="O183" s="64">
        <f>ROUND(K183*(1+S183),2)</f>
        <v>0</v>
      </c>
      <c r="P183" s="64"/>
      <c r="Q183" s="57">
        <f>O183+P183</f>
        <v>0</v>
      </c>
      <c r="R183" s="67">
        <f>ROUND(Q183*I183,2)</f>
        <v>0</v>
      </c>
      <c r="S183" s="40">
        <v>0</v>
      </c>
      <c r="T183" s="40"/>
      <c r="U183" s="41" t="str">
        <f>IF(M183=0,"N/A",Q183/M183-1)</f>
        <v>N/A</v>
      </c>
    </row>
    <row r="184" spans="2:21" x14ac:dyDescent="0.2">
      <c r="B184" s="60" t="s">
        <v>45</v>
      </c>
      <c r="C184" s="31">
        <v>0</v>
      </c>
      <c r="D184" s="31">
        <v>0</v>
      </c>
      <c r="E184" s="32" t="s">
        <v>22</v>
      </c>
      <c r="F184" s="32" t="s">
        <v>22</v>
      </c>
      <c r="G184" s="77"/>
      <c r="H184" s="32" t="s">
        <v>26</v>
      </c>
      <c r="I184" s="61">
        <v>0</v>
      </c>
      <c r="J184" s="61"/>
      <c r="K184" s="79">
        <v>0</v>
      </c>
      <c r="L184" s="79"/>
      <c r="M184" s="64">
        <f>K184</f>
        <v>0</v>
      </c>
      <c r="N184" s="67">
        <f>ROUND(M184*I184,2)</f>
        <v>0</v>
      </c>
      <c r="O184" s="64">
        <f>ROUND(K184*(1+S184),2)</f>
        <v>0</v>
      </c>
      <c r="P184" s="64"/>
      <c r="Q184" s="57">
        <f>O184+P184</f>
        <v>0</v>
      </c>
      <c r="R184" s="67">
        <f>ROUND(Q184*I184,2)</f>
        <v>0</v>
      </c>
      <c r="S184" s="40">
        <v>0</v>
      </c>
      <c r="T184" s="40"/>
      <c r="U184" s="41" t="str">
        <f>IF(M184=0,"N/A",Q184/M184-1)</f>
        <v>N/A</v>
      </c>
    </row>
    <row r="185" spans="2:21" x14ac:dyDescent="0.2">
      <c r="B185" s="4"/>
      <c r="C185" s="44"/>
      <c r="D185" s="44"/>
      <c r="E185" s="44"/>
      <c r="F185" s="44"/>
      <c r="G185" s="49"/>
      <c r="H185" s="4"/>
      <c r="I185" s="62"/>
      <c r="J185" s="62"/>
      <c r="K185" s="63"/>
      <c r="L185" s="63"/>
      <c r="M185" s="64"/>
      <c r="N185" s="67"/>
      <c r="O185" s="64"/>
      <c r="P185" s="64"/>
      <c r="Q185" s="57"/>
      <c r="R185" s="67"/>
      <c r="S185" s="48"/>
      <c r="T185" s="48"/>
      <c r="U185" s="41"/>
    </row>
    <row r="186" spans="2:21" hidden="1" x14ac:dyDescent="0.2">
      <c r="B186" s="4"/>
      <c r="C186" s="44"/>
      <c r="D186" s="44"/>
      <c r="E186" s="44"/>
      <c r="F186" s="44"/>
      <c r="G186" s="49"/>
      <c r="H186" s="4"/>
      <c r="I186" s="62"/>
      <c r="J186" s="62"/>
      <c r="K186" s="63"/>
      <c r="L186" s="63"/>
      <c r="M186" s="37"/>
      <c r="N186" s="50"/>
      <c r="O186" s="64"/>
      <c r="P186" s="76"/>
      <c r="Q186" s="76"/>
      <c r="R186" s="50"/>
      <c r="S186" s="51"/>
    </row>
    <row r="187" spans="2:21" x14ac:dyDescent="0.2">
      <c r="B187" s="33" t="str">
        <f>"Total " &amp; B178</f>
        <v>Total Critical Illness</v>
      </c>
      <c r="C187" s="52"/>
      <c r="D187" s="53"/>
      <c r="E187" s="54"/>
      <c r="F187" s="54"/>
      <c r="G187" s="15"/>
      <c r="H187" s="18"/>
      <c r="I187" s="56">
        <f>SUM(I179:I186)</f>
        <v>0</v>
      </c>
      <c r="J187" s="56"/>
      <c r="K187" s="57"/>
      <c r="L187" s="57"/>
      <c r="M187" s="57"/>
      <c r="N187" s="38">
        <f>SUM(N179:N186)</f>
        <v>0</v>
      </c>
      <c r="O187" s="57"/>
      <c r="P187" s="57"/>
      <c r="Q187" s="57"/>
      <c r="R187" s="38">
        <f>SUM(R179:R186)</f>
        <v>0</v>
      </c>
      <c r="S187" s="48"/>
      <c r="T187" s="48"/>
      <c r="U187" s="41" t="str">
        <f>IF(N187=0,"N/A",R187/N187-1)</f>
        <v>N/A</v>
      </c>
    </row>
    <row r="188" spans="2:21" x14ac:dyDescent="0.2">
      <c r="B188" s="16"/>
      <c r="C188" s="52"/>
      <c r="D188" s="53"/>
      <c r="E188" s="54"/>
      <c r="F188" s="54"/>
      <c r="G188" s="15"/>
      <c r="H188" s="18"/>
      <c r="I188" s="56"/>
      <c r="J188" s="56"/>
      <c r="K188" s="57"/>
      <c r="L188" s="57"/>
      <c r="M188" s="57"/>
      <c r="N188" s="38"/>
      <c r="O188" s="57"/>
      <c r="P188" s="57"/>
      <c r="Q188" s="57"/>
      <c r="R188" s="38"/>
      <c r="S188" s="48"/>
      <c r="T188" s="48"/>
      <c r="U188" s="41"/>
    </row>
    <row r="189" spans="2:21" x14ac:dyDescent="0.2">
      <c r="B189" s="29" t="s">
        <v>46</v>
      </c>
      <c r="C189" s="66"/>
      <c r="D189" s="53"/>
      <c r="E189" s="53"/>
      <c r="F189" s="53"/>
      <c r="G189" s="16"/>
      <c r="H189" s="4"/>
      <c r="I189" s="28"/>
      <c r="J189" s="28"/>
      <c r="K189" s="6"/>
      <c r="L189" s="6"/>
      <c r="M189" s="6"/>
      <c r="N189" s="7"/>
      <c r="O189" s="6"/>
      <c r="P189" s="6"/>
      <c r="Q189" s="6"/>
      <c r="R189" s="7"/>
      <c r="S189" s="8"/>
    </row>
    <row r="190" spans="2:21" x14ac:dyDescent="0.2">
      <c r="B190" s="60" t="s">
        <v>46</v>
      </c>
      <c r="C190" s="31">
        <v>0</v>
      </c>
      <c r="D190" s="31">
        <v>0</v>
      </c>
      <c r="E190" s="32" t="s">
        <v>22</v>
      </c>
      <c r="F190" s="32" t="s">
        <v>22</v>
      </c>
      <c r="G190" s="77"/>
      <c r="H190" s="32" t="s">
        <v>26</v>
      </c>
      <c r="I190" s="61">
        <v>0</v>
      </c>
      <c r="J190" s="61"/>
      <c r="K190" s="79">
        <v>0</v>
      </c>
      <c r="L190" s="79"/>
      <c r="M190" s="64">
        <f>K190</f>
        <v>0</v>
      </c>
      <c r="N190" s="67">
        <f>ROUND(M190*I190,2)</f>
        <v>0</v>
      </c>
      <c r="O190" s="64">
        <f>ROUND(K190*(1+S190),2)</f>
        <v>0</v>
      </c>
      <c r="P190" s="64"/>
      <c r="Q190" s="57">
        <f>O190+P190</f>
        <v>0</v>
      </c>
      <c r="R190" s="67">
        <f>ROUND(Q190*I190,2)</f>
        <v>0</v>
      </c>
      <c r="S190" s="40">
        <v>0</v>
      </c>
      <c r="T190" s="40"/>
      <c r="U190" s="41" t="str">
        <f>IF(M190=0,"N/A",Q190/M190-1)</f>
        <v>N/A</v>
      </c>
    </row>
    <row r="191" spans="2:21" x14ac:dyDescent="0.2">
      <c r="B191" s="60" t="s">
        <v>46</v>
      </c>
      <c r="C191" s="31">
        <v>0</v>
      </c>
      <c r="D191" s="31">
        <v>0</v>
      </c>
      <c r="E191" s="32" t="s">
        <v>22</v>
      </c>
      <c r="F191" s="32" t="s">
        <v>22</v>
      </c>
      <c r="G191" s="77"/>
      <c r="H191" s="32" t="s">
        <v>26</v>
      </c>
      <c r="I191" s="61">
        <v>0</v>
      </c>
      <c r="J191" s="61"/>
      <c r="K191" s="79">
        <v>0</v>
      </c>
      <c r="L191" s="79"/>
      <c r="M191" s="64">
        <f>K191</f>
        <v>0</v>
      </c>
      <c r="N191" s="67">
        <f>ROUND(M191*I191,2)</f>
        <v>0</v>
      </c>
      <c r="O191" s="64">
        <f>ROUND(K191*(1+S191),2)</f>
        <v>0</v>
      </c>
      <c r="P191" s="64"/>
      <c r="Q191" s="57">
        <f>O191+P191</f>
        <v>0</v>
      </c>
      <c r="R191" s="67">
        <f>ROUND(Q191*I191,2)</f>
        <v>0</v>
      </c>
      <c r="S191" s="40">
        <v>0</v>
      </c>
      <c r="T191" s="40"/>
      <c r="U191" s="41" t="str">
        <f>IF(M191=0,"N/A",Q191/M191-1)</f>
        <v>N/A</v>
      </c>
    </row>
    <row r="192" spans="2:21" x14ac:dyDescent="0.2">
      <c r="B192" s="60" t="s">
        <v>46</v>
      </c>
      <c r="C192" s="31">
        <v>0</v>
      </c>
      <c r="D192" s="31">
        <v>0</v>
      </c>
      <c r="E192" s="32" t="s">
        <v>22</v>
      </c>
      <c r="F192" s="32" t="s">
        <v>22</v>
      </c>
      <c r="G192" s="77"/>
      <c r="H192" s="32" t="s">
        <v>26</v>
      </c>
      <c r="I192" s="61">
        <v>0</v>
      </c>
      <c r="J192" s="61"/>
      <c r="K192" s="79">
        <v>0</v>
      </c>
      <c r="L192" s="79"/>
      <c r="M192" s="64">
        <f>K192</f>
        <v>0</v>
      </c>
      <c r="N192" s="67">
        <f>ROUND(M192*I192,2)</f>
        <v>0</v>
      </c>
      <c r="O192" s="64">
        <f>ROUND(K192*(1+S192),2)</f>
        <v>0</v>
      </c>
      <c r="P192" s="64"/>
      <c r="Q192" s="57">
        <f>O192+P192</f>
        <v>0</v>
      </c>
      <c r="R192" s="67">
        <f>ROUND(Q192*I192,2)</f>
        <v>0</v>
      </c>
      <c r="S192" s="40">
        <v>0</v>
      </c>
      <c r="T192" s="40"/>
      <c r="U192" s="41" t="str">
        <f>IF(M192=0,"N/A",Q192/M192-1)</f>
        <v>N/A</v>
      </c>
    </row>
    <row r="193" spans="2:21" x14ac:dyDescent="0.2">
      <c r="B193" s="60" t="s">
        <v>46</v>
      </c>
      <c r="C193" s="31">
        <v>0</v>
      </c>
      <c r="D193" s="31">
        <v>0</v>
      </c>
      <c r="E193" s="32" t="s">
        <v>22</v>
      </c>
      <c r="F193" s="32" t="s">
        <v>22</v>
      </c>
      <c r="G193" s="77"/>
      <c r="H193" s="32" t="s">
        <v>26</v>
      </c>
      <c r="I193" s="61">
        <v>0</v>
      </c>
      <c r="J193" s="61"/>
      <c r="K193" s="79">
        <v>0</v>
      </c>
      <c r="L193" s="79"/>
      <c r="M193" s="64">
        <f>K193</f>
        <v>0</v>
      </c>
      <c r="N193" s="67">
        <f>ROUND(M193*I193,2)</f>
        <v>0</v>
      </c>
      <c r="O193" s="64">
        <f>ROUND(K193*(1+S193),2)</f>
        <v>0</v>
      </c>
      <c r="P193" s="64"/>
      <c r="Q193" s="57">
        <f>O193+P193</f>
        <v>0</v>
      </c>
      <c r="R193" s="67">
        <f>ROUND(Q193*I193,2)</f>
        <v>0</v>
      </c>
      <c r="S193" s="40">
        <v>0</v>
      </c>
      <c r="T193" s="40"/>
      <c r="U193" s="41" t="str">
        <f>IF(M193=0,"N/A",Q193/M193-1)</f>
        <v>N/A</v>
      </c>
    </row>
    <row r="194" spans="2:21" x14ac:dyDescent="0.2">
      <c r="B194" s="60" t="s">
        <v>46</v>
      </c>
      <c r="C194" s="31">
        <v>0</v>
      </c>
      <c r="D194" s="31">
        <v>0</v>
      </c>
      <c r="E194" s="32" t="s">
        <v>22</v>
      </c>
      <c r="F194" s="32" t="s">
        <v>22</v>
      </c>
      <c r="G194" s="77"/>
      <c r="H194" s="32" t="s">
        <v>26</v>
      </c>
      <c r="I194" s="61">
        <v>0</v>
      </c>
      <c r="J194" s="61"/>
      <c r="K194" s="79">
        <v>0</v>
      </c>
      <c r="L194" s="79"/>
      <c r="M194" s="64">
        <f>K194</f>
        <v>0</v>
      </c>
      <c r="N194" s="67">
        <f>ROUND(M194*I194,2)</f>
        <v>0</v>
      </c>
      <c r="O194" s="64">
        <f>ROUND(K194*(1+S194),2)</f>
        <v>0</v>
      </c>
      <c r="P194" s="64"/>
      <c r="Q194" s="57">
        <f>O194+P194</f>
        <v>0</v>
      </c>
      <c r="R194" s="67">
        <f>ROUND(Q194*I194,2)</f>
        <v>0</v>
      </c>
      <c r="S194" s="40">
        <v>0</v>
      </c>
      <c r="T194" s="40"/>
      <c r="U194" s="41" t="str">
        <f>IF(M194=0,"N/A",Q194/M194-1)</f>
        <v>N/A</v>
      </c>
    </row>
    <row r="195" spans="2:21" x14ac:dyDescent="0.2">
      <c r="B195" s="60" t="s">
        <v>46</v>
      </c>
      <c r="C195" s="31">
        <v>0</v>
      </c>
      <c r="D195" s="31">
        <v>0</v>
      </c>
      <c r="E195" s="32" t="s">
        <v>22</v>
      </c>
      <c r="F195" s="32" t="s">
        <v>22</v>
      </c>
      <c r="G195" s="77"/>
      <c r="H195" s="32" t="s">
        <v>26</v>
      </c>
      <c r="I195" s="61">
        <v>0</v>
      </c>
      <c r="J195" s="61"/>
      <c r="K195" s="79">
        <v>0</v>
      </c>
      <c r="L195" s="79"/>
      <c r="M195" s="64">
        <f>K195</f>
        <v>0</v>
      </c>
      <c r="N195" s="67">
        <f>ROUND(M195*I195,2)</f>
        <v>0</v>
      </c>
      <c r="O195" s="64">
        <f>ROUND(K195*(1+S195),2)</f>
        <v>0</v>
      </c>
      <c r="P195" s="64"/>
      <c r="Q195" s="57">
        <f>O195+P195</f>
        <v>0</v>
      </c>
      <c r="R195" s="67">
        <f>ROUND(Q195*I195,2)</f>
        <v>0</v>
      </c>
      <c r="S195" s="40">
        <v>0</v>
      </c>
      <c r="T195" s="40"/>
      <c r="U195" s="41" t="str">
        <f>IF(M195=0,"N/A",Q195/M195-1)</f>
        <v>N/A</v>
      </c>
    </row>
    <row r="196" spans="2:21" x14ac:dyDescent="0.2">
      <c r="B196" s="4"/>
      <c r="C196" s="44"/>
      <c r="D196" s="44"/>
      <c r="E196" s="44"/>
      <c r="F196" s="44"/>
      <c r="G196" s="49"/>
      <c r="H196" s="4"/>
      <c r="I196" s="62"/>
      <c r="J196" s="62"/>
      <c r="K196" s="63"/>
      <c r="L196" s="63"/>
      <c r="M196" s="64"/>
      <c r="N196" s="67"/>
      <c r="O196" s="64"/>
      <c r="P196" s="64"/>
      <c r="Q196" s="57"/>
      <c r="R196" s="67"/>
      <c r="S196" s="48"/>
      <c r="T196" s="48"/>
      <c r="U196" s="41"/>
    </row>
    <row r="197" spans="2:21" x14ac:dyDescent="0.2">
      <c r="B197" s="4"/>
      <c r="C197" s="44"/>
      <c r="D197" s="44"/>
      <c r="E197" s="44"/>
      <c r="F197" s="44"/>
      <c r="G197" s="49"/>
      <c r="H197" s="4"/>
      <c r="I197" s="62"/>
      <c r="J197" s="62"/>
      <c r="K197" s="63"/>
      <c r="L197" s="63"/>
      <c r="M197" s="37"/>
      <c r="N197" s="50"/>
      <c r="O197" s="64"/>
      <c r="P197" s="76"/>
      <c r="Q197" s="76"/>
      <c r="R197" s="50"/>
      <c r="S197" s="51"/>
    </row>
    <row r="198" spans="2:21" x14ac:dyDescent="0.2">
      <c r="B198" s="33" t="str">
        <f>"Total " &amp; B189</f>
        <v>Total Employee &amp; Family Assistance</v>
      </c>
      <c r="C198" s="52"/>
      <c r="D198" s="53"/>
      <c r="E198" s="54"/>
      <c r="F198" s="54"/>
      <c r="G198" s="15"/>
      <c r="H198" s="18"/>
      <c r="I198" s="56">
        <f>SUM(I190:I197)</f>
        <v>0</v>
      </c>
      <c r="J198" s="56"/>
      <c r="K198" s="57"/>
      <c r="L198" s="57"/>
      <c r="M198" s="57"/>
      <c r="N198" s="38">
        <f>SUM(N190:N197)</f>
        <v>0</v>
      </c>
      <c r="O198" s="57"/>
      <c r="P198" s="57"/>
      <c r="Q198" s="57"/>
      <c r="R198" s="38">
        <f>SUM(R190:R197)</f>
        <v>0</v>
      </c>
      <c r="S198" s="48"/>
      <c r="T198" s="48"/>
      <c r="U198" s="41" t="str">
        <f>IF(N198=0,"N/A",R198/N198-1)</f>
        <v>N/A</v>
      </c>
    </row>
    <row r="199" spans="2:21" x14ac:dyDescent="0.2">
      <c r="B199" s="16"/>
      <c r="C199" s="52"/>
      <c r="D199" s="53"/>
      <c r="E199" s="54"/>
      <c r="F199" s="54"/>
      <c r="G199" s="15"/>
      <c r="H199" s="18"/>
      <c r="I199" s="56"/>
      <c r="J199" s="56"/>
      <c r="K199" s="57"/>
      <c r="L199" s="57"/>
      <c r="M199" s="57"/>
      <c r="N199" s="38"/>
      <c r="O199" s="57"/>
      <c r="P199" s="57"/>
      <c r="Q199" s="57"/>
      <c r="R199" s="38"/>
      <c r="S199" s="48"/>
      <c r="T199" s="48"/>
      <c r="U199" s="41"/>
    </row>
    <row r="200" spans="2:21" x14ac:dyDescent="0.2">
      <c r="B200" s="29" t="s">
        <v>47</v>
      </c>
      <c r="C200" s="66"/>
      <c r="D200" s="53"/>
      <c r="E200" s="53"/>
      <c r="F200" s="53"/>
      <c r="G200" s="16"/>
      <c r="H200" s="4"/>
      <c r="I200" s="28"/>
      <c r="J200" s="28"/>
      <c r="K200" s="6"/>
      <c r="L200" s="6"/>
      <c r="M200" s="6"/>
      <c r="N200" s="7"/>
      <c r="O200" s="6"/>
      <c r="P200" s="6"/>
      <c r="Q200" s="6"/>
      <c r="R200" s="7"/>
      <c r="S200" s="8"/>
    </row>
    <row r="201" spans="2:21" x14ac:dyDescent="0.2">
      <c r="B201" s="60" t="s">
        <v>47</v>
      </c>
      <c r="C201" s="31">
        <v>0</v>
      </c>
      <c r="D201" s="31">
        <v>0</v>
      </c>
      <c r="E201" s="32" t="s">
        <v>22</v>
      </c>
      <c r="F201" s="32" t="s">
        <v>22</v>
      </c>
      <c r="G201" s="77"/>
      <c r="H201" s="32" t="s">
        <v>26</v>
      </c>
      <c r="I201" s="61">
        <v>0</v>
      </c>
      <c r="J201" s="61"/>
      <c r="K201" s="79">
        <v>0</v>
      </c>
      <c r="L201" s="79"/>
      <c r="M201" s="64">
        <f>K201</f>
        <v>0</v>
      </c>
      <c r="N201" s="67">
        <f>ROUND(M201*I201,2)</f>
        <v>0</v>
      </c>
      <c r="O201" s="64">
        <f>ROUND(K201*(1+S201),2)</f>
        <v>0</v>
      </c>
      <c r="P201" s="64"/>
      <c r="Q201" s="57">
        <f>O201+P201</f>
        <v>0</v>
      </c>
      <c r="R201" s="67">
        <f>ROUND(Q201*I201,2)</f>
        <v>0</v>
      </c>
      <c r="S201" s="40">
        <v>0</v>
      </c>
      <c r="T201" s="40"/>
      <c r="U201" s="41" t="str">
        <f>IF(M201=0,"N/A",Q201/M201-1)</f>
        <v>N/A</v>
      </c>
    </row>
    <row r="202" spans="2:21" x14ac:dyDescent="0.2">
      <c r="B202" s="60" t="s">
        <v>47</v>
      </c>
      <c r="C202" s="31">
        <v>0</v>
      </c>
      <c r="D202" s="31">
        <v>0</v>
      </c>
      <c r="E202" s="32" t="s">
        <v>22</v>
      </c>
      <c r="F202" s="32" t="s">
        <v>22</v>
      </c>
      <c r="G202" s="77"/>
      <c r="H202" s="32" t="s">
        <v>26</v>
      </c>
      <c r="I202" s="61">
        <v>0</v>
      </c>
      <c r="J202" s="61"/>
      <c r="K202" s="79">
        <v>0</v>
      </c>
      <c r="L202" s="79"/>
      <c r="M202" s="64">
        <f>K202</f>
        <v>0</v>
      </c>
      <c r="N202" s="67">
        <f>ROUND(M202*I202,2)</f>
        <v>0</v>
      </c>
      <c r="O202" s="64">
        <f>ROUND(K202*(1+S202),2)</f>
        <v>0</v>
      </c>
      <c r="P202" s="64"/>
      <c r="Q202" s="57">
        <f>O202+P202</f>
        <v>0</v>
      </c>
      <c r="R202" s="67">
        <f>ROUND(Q202*I202,2)</f>
        <v>0</v>
      </c>
      <c r="S202" s="40">
        <v>0</v>
      </c>
      <c r="T202" s="40"/>
      <c r="U202" s="41" t="str">
        <f>IF(M202=0,"N/A",Q202/M202-1)</f>
        <v>N/A</v>
      </c>
    </row>
    <row r="203" spans="2:21" x14ac:dyDescent="0.2">
      <c r="B203" s="60" t="s">
        <v>47</v>
      </c>
      <c r="C203" s="31">
        <v>0</v>
      </c>
      <c r="D203" s="31">
        <v>0</v>
      </c>
      <c r="E203" s="32" t="s">
        <v>22</v>
      </c>
      <c r="F203" s="32" t="s">
        <v>22</v>
      </c>
      <c r="G203" s="77"/>
      <c r="H203" s="32" t="s">
        <v>26</v>
      </c>
      <c r="I203" s="61">
        <v>0</v>
      </c>
      <c r="J203" s="61"/>
      <c r="K203" s="79">
        <v>0</v>
      </c>
      <c r="L203" s="79"/>
      <c r="M203" s="64">
        <f>K203</f>
        <v>0</v>
      </c>
      <c r="N203" s="67">
        <f>ROUND(M203*I203,2)</f>
        <v>0</v>
      </c>
      <c r="O203" s="64">
        <f>ROUND(K203*(1+S203),2)</f>
        <v>0</v>
      </c>
      <c r="P203" s="64"/>
      <c r="Q203" s="57">
        <f>O203+P203</f>
        <v>0</v>
      </c>
      <c r="R203" s="67">
        <f>ROUND(Q203*I203,2)</f>
        <v>0</v>
      </c>
      <c r="S203" s="40">
        <v>0</v>
      </c>
      <c r="T203" s="40"/>
      <c r="U203" s="41" t="str">
        <f>IF(M203=0,"N/A",Q203/M203-1)</f>
        <v>N/A</v>
      </c>
    </row>
    <row r="204" spans="2:21" x14ac:dyDescent="0.2">
      <c r="B204" s="60" t="s">
        <v>47</v>
      </c>
      <c r="C204" s="31">
        <v>0</v>
      </c>
      <c r="D204" s="31">
        <v>0</v>
      </c>
      <c r="E204" s="32" t="s">
        <v>22</v>
      </c>
      <c r="F204" s="32" t="s">
        <v>22</v>
      </c>
      <c r="G204" s="77"/>
      <c r="H204" s="32" t="s">
        <v>26</v>
      </c>
      <c r="I204" s="61">
        <v>0</v>
      </c>
      <c r="J204" s="61"/>
      <c r="K204" s="79">
        <v>0</v>
      </c>
      <c r="L204" s="79"/>
      <c r="M204" s="64">
        <f>K204</f>
        <v>0</v>
      </c>
      <c r="N204" s="67">
        <f>ROUND(M204*I204,2)</f>
        <v>0</v>
      </c>
      <c r="O204" s="64">
        <f>ROUND(K204*(1+S204),2)</f>
        <v>0</v>
      </c>
      <c r="P204" s="64"/>
      <c r="Q204" s="57">
        <f>O204+P204</f>
        <v>0</v>
      </c>
      <c r="R204" s="67">
        <f>ROUND(Q204*I204,2)</f>
        <v>0</v>
      </c>
      <c r="S204" s="40">
        <v>0</v>
      </c>
      <c r="T204" s="40"/>
      <c r="U204" s="41" t="str">
        <f>IF(M204=0,"N/A",Q204/M204-1)</f>
        <v>N/A</v>
      </c>
    </row>
    <row r="205" spans="2:21" x14ac:dyDescent="0.2">
      <c r="B205" s="60" t="s">
        <v>47</v>
      </c>
      <c r="C205" s="31">
        <v>0</v>
      </c>
      <c r="D205" s="31">
        <v>0</v>
      </c>
      <c r="E205" s="32" t="s">
        <v>22</v>
      </c>
      <c r="F205" s="32" t="s">
        <v>22</v>
      </c>
      <c r="G205" s="77"/>
      <c r="H205" s="32" t="s">
        <v>26</v>
      </c>
      <c r="I205" s="61">
        <v>0</v>
      </c>
      <c r="J205" s="61"/>
      <c r="K205" s="79">
        <v>0</v>
      </c>
      <c r="L205" s="79"/>
      <c r="M205" s="64">
        <f>K205</f>
        <v>0</v>
      </c>
      <c r="N205" s="67">
        <f>ROUND(M205*I205,2)</f>
        <v>0</v>
      </c>
      <c r="O205" s="64">
        <f>ROUND(K205*(1+S205),2)</f>
        <v>0</v>
      </c>
      <c r="P205" s="64"/>
      <c r="Q205" s="57">
        <f>O205+P205</f>
        <v>0</v>
      </c>
      <c r="R205" s="67">
        <f>ROUND(Q205*I205,2)</f>
        <v>0</v>
      </c>
      <c r="S205" s="40">
        <v>0</v>
      </c>
      <c r="T205" s="40"/>
      <c r="U205" s="41" t="str">
        <f>IF(M205=0,"N/A",Q205/M205-1)</f>
        <v>N/A</v>
      </c>
    </row>
    <row r="206" spans="2:21" x14ac:dyDescent="0.2">
      <c r="B206" s="60" t="s">
        <v>47</v>
      </c>
      <c r="C206" s="31">
        <v>0</v>
      </c>
      <c r="D206" s="31">
        <v>0</v>
      </c>
      <c r="E206" s="32" t="s">
        <v>22</v>
      </c>
      <c r="F206" s="32" t="s">
        <v>22</v>
      </c>
      <c r="G206" s="77"/>
      <c r="H206" s="32" t="s">
        <v>26</v>
      </c>
      <c r="I206" s="61">
        <v>0</v>
      </c>
      <c r="J206" s="61"/>
      <c r="K206" s="79">
        <v>0</v>
      </c>
      <c r="L206" s="79"/>
      <c r="M206" s="64">
        <f>K206</f>
        <v>0</v>
      </c>
      <c r="N206" s="67">
        <f>ROUND(M206*I206,2)</f>
        <v>0</v>
      </c>
      <c r="O206" s="64">
        <f>ROUND(K206*(1+S206),2)</f>
        <v>0</v>
      </c>
      <c r="P206" s="64"/>
      <c r="Q206" s="57">
        <f>O206+P206</f>
        <v>0</v>
      </c>
      <c r="R206" s="67">
        <f>ROUND(Q206*I206,2)</f>
        <v>0</v>
      </c>
      <c r="S206" s="40">
        <v>0</v>
      </c>
      <c r="T206" s="40"/>
      <c r="U206" s="41" t="str">
        <f>IF(M206=0,"N/A",Q206/M206-1)</f>
        <v>N/A</v>
      </c>
    </row>
    <row r="207" spans="2:21" x14ac:dyDescent="0.2">
      <c r="B207" s="4"/>
      <c r="C207" s="44"/>
      <c r="D207" s="44"/>
      <c r="E207" s="44"/>
      <c r="F207" s="44"/>
      <c r="G207" s="49"/>
      <c r="H207" s="4"/>
      <c r="I207" s="62"/>
      <c r="J207" s="62"/>
      <c r="K207" s="63"/>
      <c r="L207" s="63"/>
      <c r="M207" s="37"/>
      <c r="N207" s="50"/>
      <c r="O207" s="64"/>
      <c r="P207" s="76"/>
      <c r="Q207" s="76"/>
      <c r="R207" s="50"/>
      <c r="S207" s="51"/>
    </row>
    <row r="208" spans="2:21" x14ac:dyDescent="0.2">
      <c r="B208" s="33" t="str">
        <f>"Total " &amp; B200</f>
        <v>Total HealthCare Online</v>
      </c>
      <c r="C208" s="52"/>
      <c r="D208" s="53"/>
      <c r="E208" s="54"/>
      <c r="F208" s="54"/>
      <c r="G208" s="15"/>
      <c r="H208" s="18"/>
      <c r="I208" s="56">
        <f>SUM(I201:I207)</f>
        <v>0</v>
      </c>
      <c r="J208" s="56"/>
      <c r="K208" s="57"/>
      <c r="L208" s="57"/>
      <c r="M208" s="57"/>
      <c r="N208" s="38">
        <f>SUM(N201:N207)</f>
        <v>0</v>
      </c>
      <c r="O208" s="57"/>
      <c r="P208" s="57"/>
      <c r="Q208" s="57"/>
      <c r="R208" s="38">
        <f>SUM(R201:R207)</f>
        <v>0</v>
      </c>
      <c r="S208" s="48"/>
      <c r="T208" s="48"/>
      <c r="U208" s="41" t="str">
        <f>IF(N208=0,"N/A",R208/N208-1)</f>
        <v>N/A</v>
      </c>
    </row>
    <row r="209" spans="2:21" x14ac:dyDescent="0.2">
      <c r="B209" s="16"/>
      <c r="C209" s="52"/>
      <c r="D209" s="53"/>
      <c r="E209" s="54"/>
      <c r="F209" s="54"/>
      <c r="G209" s="15"/>
      <c r="H209" s="18"/>
      <c r="I209" s="56"/>
      <c r="J209" s="56"/>
      <c r="K209" s="57"/>
      <c r="L209" s="57"/>
      <c r="M209" s="57"/>
      <c r="N209" s="38"/>
      <c r="O209" s="57"/>
      <c r="P209" s="57"/>
      <c r="Q209" s="57"/>
      <c r="R209" s="38"/>
      <c r="S209" s="48"/>
      <c r="T209" s="48"/>
      <c r="U209" s="41"/>
    </row>
    <row r="210" spans="2:21" x14ac:dyDescent="0.2">
      <c r="B210" s="29" t="s">
        <v>48</v>
      </c>
      <c r="C210" s="66"/>
      <c r="D210" s="53"/>
      <c r="E210" s="53"/>
      <c r="F210" s="53"/>
      <c r="G210" s="16"/>
      <c r="H210" s="4"/>
      <c r="I210" s="28"/>
      <c r="J210" s="28"/>
      <c r="K210" s="6"/>
      <c r="L210" s="6"/>
      <c r="M210" s="6"/>
      <c r="N210" s="7"/>
      <c r="O210" s="6"/>
      <c r="P210" s="6"/>
      <c r="Q210" s="6"/>
      <c r="R210" s="7"/>
      <c r="S210" s="8"/>
    </row>
    <row r="211" spans="2:21" x14ac:dyDescent="0.2">
      <c r="B211" s="60" t="s">
        <v>49</v>
      </c>
      <c r="C211" s="31">
        <v>0</v>
      </c>
      <c r="D211" s="31">
        <v>0</v>
      </c>
      <c r="E211" s="32" t="s">
        <v>22</v>
      </c>
      <c r="F211" s="32" t="s">
        <v>22</v>
      </c>
      <c r="G211" s="77"/>
      <c r="H211" s="32" t="s">
        <v>26</v>
      </c>
      <c r="I211" s="61">
        <v>0</v>
      </c>
      <c r="J211" s="61"/>
      <c r="K211" s="79">
        <v>0</v>
      </c>
      <c r="L211" s="79"/>
      <c r="M211" s="64">
        <f>K211</f>
        <v>0</v>
      </c>
      <c r="N211" s="67">
        <f>ROUND(M211*I211,2)</f>
        <v>0</v>
      </c>
      <c r="O211" s="64">
        <f>ROUND(K211*(1+S211),2)</f>
        <v>0</v>
      </c>
      <c r="P211" s="64"/>
      <c r="Q211" s="57">
        <f>O211</f>
        <v>0</v>
      </c>
      <c r="R211" s="67">
        <f>ROUND(Q211*I211,2)</f>
        <v>0</v>
      </c>
      <c r="S211" s="40">
        <v>0</v>
      </c>
      <c r="T211" s="40"/>
      <c r="U211" s="41" t="str">
        <f>IF(M211=0,"N/A",Q211/M211-1)</f>
        <v>N/A</v>
      </c>
    </row>
    <row r="212" spans="2:21" x14ac:dyDescent="0.2">
      <c r="B212" s="60" t="s">
        <v>50</v>
      </c>
      <c r="C212" s="31">
        <v>0</v>
      </c>
      <c r="D212" s="31">
        <v>0</v>
      </c>
      <c r="E212" s="32" t="s">
        <v>22</v>
      </c>
      <c r="F212" s="32" t="s">
        <v>22</v>
      </c>
      <c r="G212" s="77"/>
      <c r="H212" s="32" t="s">
        <v>26</v>
      </c>
      <c r="I212" s="61">
        <v>0</v>
      </c>
      <c r="J212" s="61"/>
      <c r="K212" s="79">
        <v>0</v>
      </c>
      <c r="L212" s="79"/>
      <c r="M212" s="64">
        <f>K212</f>
        <v>0</v>
      </c>
      <c r="N212" s="67">
        <f>ROUND(M212*I212,2)</f>
        <v>0</v>
      </c>
      <c r="O212" s="64">
        <f>ROUND(K212*(1+S212),2)</f>
        <v>0</v>
      </c>
      <c r="P212" s="64"/>
      <c r="Q212" s="57">
        <f>O212</f>
        <v>0</v>
      </c>
      <c r="R212" s="67">
        <f>ROUND(Q212*I212,2)</f>
        <v>0</v>
      </c>
      <c r="S212" s="40">
        <v>0</v>
      </c>
      <c r="T212" s="40"/>
      <c r="U212" s="41" t="str">
        <f>IF(M212=0,"N/A",Q212/M212-1)</f>
        <v>N/A</v>
      </c>
    </row>
    <row r="213" spans="2:21" x14ac:dyDescent="0.2">
      <c r="B213" s="60" t="s">
        <v>51</v>
      </c>
      <c r="C213" s="31">
        <v>0</v>
      </c>
      <c r="D213" s="31">
        <v>0</v>
      </c>
      <c r="E213" s="32" t="s">
        <v>22</v>
      </c>
      <c r="F213" s="32" t="s">
        <v>22</v>
      </c>
      <c r="G213" s="77"/>
      <c r="H213" s="32" t="s">
        <v>26</v>
      </c>
      <c r="I213" s="61">
        <v>0</v>
      </c>
      <c r="J213" s="61"/>
      <c r="K213" s="79">
        <v>0</v>
      </c>
      <c r="L213" s="79"/>
      <c r="M213" s="64">
        <f>K213</f>
        <v>0</v>
      </c>
      <c r="N213" s="67">
        <f>ROUND(M213*I213,2)</f>
        <v>0</v>
      </c>
      <c r="O213" s="64">
        <f>ROUND(K213*(1+S213),2)</f>
        <v>0</v>
      </c>
      <c r="P213" s="64"/>
      <c r="Q213" s="57">
        <f>O213</f>
        <v>0</v>
      </c>
      <c r="R213" s="67">
        <f>ROUND(Q213*I213,2)</f>
        <v>0</v>
      </c>
      <c r="S213" s="40">
        <v>0</v>
      </c>
      <c r="T213" s="40"/>
      <c r="U213" s="41" t="str">
        <f>IF(M213=0,"N/A",Q213/M213-1)</f>
        <v>N/A</v>
      </c>
    </row>
    <row r="214" spans="2:21" ht="25.5" customHeight="1" x14ac:dyDescent="0.2">
      <c r="B214" s="83" t="s">
        <v>52</v>
      </c>
      <c r="C214" s="31">
        <v>0</v>
      </c>
      <c r="D214" s="31">
        <v>0</v>
      </c>
      <c r="E214" s="32" t="s">
        <v>22</v>
      </c>
      <c r="F214" s="32" t="s">
        <v>22</v>
      </c>
      <c r="G214" s="77"/>
      <c r="H214" s="32" t="s">
        <v>26</v>
      </c>
      <c r="I214" s="61">
        <v>0</v>
      </c>
      <c r="J214" s="61"/>
      <c r="K214" s="79">
        <v>0</v>
      </c>
      <c r="L214" s="79"/>
      <c r="M214" s="64">
        <f>K214</f>
        <v>0</v>
      </c>
      <c r="N214" s="67">
        <f>ROUND(M214*I214,2)</f>
        <v>0</v>
      </c>
      <c r="O214" s="64">
        <f>ROUND(K214*(1+S214),2)</f>
        <v>0</v>
      </c>
      <c r="P214" s="64"/>
      <c r="Q214" s="57">
        <f>O214</f>
        <v>0</v>
      </c>
      <c r="R214" s="67">
        <f>ROUND(Q214*I214,2)</f>
        <v>0</v>
      </c>
      <c r="S214" s="40">
        <v>0</v>
      </c>
      <c r="T214" s="40"/>
      <c r="U214" s="41" t="str">
        <f>IF(M214=0,"N/A",Q214/M214-1)</f>
        <v>N/A</v>
      </c>
    </row>
    <row r="215" spans="2:21" x14ac:dyDescent="0.2">
      <c r="B215" s="60" t="s">
        <v>53</v>
      </c>
      <c r="C215" s="31">
        <v>0</v>
      </c>
      <c r="D215" s="31">
        <v>0</v>
      </c>
      <c r="E215" s="32" t="s">
        <v>22</v>
      </c>
      <c r="F215" s="32" t="s">
        <v>22</v>
      </c>
      <c r="G215" s="77"/>
      <c r="H215" s="32" t="s">
        <v>26</v>
      </c>
      <c r="I215" s="61">
        <v>0</v>
      </c>
      <c r="J215" s="61"/>
      <c r="K215" s="79">
        <v>0</v>
      </c>
      <c r="L215" s="79"/>
      <c r="M215" s="64">
        <f>K215</f>
        <v>0</v>
      </c>
      <c r="N215" s="67">
        <f>ROUND(M215*I215,2)</f>
        <v>0</v>
      </c>
      <c r="O215" s="64">
        <f>ROUND(K215*(1+S215),2)</f>
        <v>0</v>
      </c>
      <c r="P215" s="64"/>
      <c r="Q215" s="57">
        <f>O215</f>
        <v>0</v>
      </c>
      <c r="R215" s="67">
        <f>ROUND(Q215*I215,2)</f>
        <v>0</v>
      </c>
      <c r="S215" s="40">
        <v>0</v>
      </c>
      <c r="T215" s="40"/>
      <c r="U215" s="41" t="str">
        <f>IF(M215=0,"N/A",Q215/M215-1)</f>
        <v>N/A</v>
      </c>
    </row>
    <row r="216" spans="2:21" x14ac:dyDescent="0.2">
      <c r="B216" s="4"/>
      <c r="C216" s="44"/>
      <c r="D216" s="44"/>
      <c r="E216" s="44"/>
      <c r="F216" s="44"/>
      <c r="G216" s="49"/>
      <c r="H216" s="4"/>
      <c r="I216" s="62"/>
      <c r="J216" s="62"/>
      <c r="K216" s="63"/>
      <c r="L216" s="63"/>
      <c r="M216" s="64"/>
      <c r="N216" s="67"/>
      <c r="O216" s="64"/>
      <c r="P216" s="64"/>
      <c r="Q216" s="57"/>
      <c r="R216" s="67"/>
      <c r="S216" s="48"/>
      <c r="T216" s="48"/>
      <c r="U216" s="41"/>
    </row>
    <row r="217" spans="2:21" x14ac:dyDescent="0.2">
      <c r="B217" s="4"/>
      <c r="C217" s="44"/>
      <c r="D217" s="44"/>
      <c r="E217" s="44"/>
      <c r="F217" s="44"/>
      <c r="G217" s="49"/>
      <c r="H217" s="4"/>
      <c r="I217" s="62"/>
      <c r="J217" s="62"/>
      <c r="K217" s="63"/>
      <c r="L217" s="63"/>
      <c r="M217" s="37"/>
      <c r="N217" s="50"/>
      <c r="O217" s="64"/>
      <c r="P217" s="76"/>
      <c r="Q217" s="76"/>
      <c r="R217" s="50"/>
      <c r="S217" s="51"/>
    </row>
    <row r="218" spans="2:21" x14ac:dyDescent="0.2">
      <c r="B218" s="33" t="str">
        <f>"Total " &amp; B210</f>
        <v>Total Women's &amp; Family Health</v>
      </c>
      <c r="C218" s="52"/>
      <c r="D218" s="53"/>
      <c r="E218" s="54"/>
      <c r="F218" s="54"/>
      <c r="G218" s="15"/>
      <c r="H218" s="18"/>
      <c r="I218" s="56">
        <f>SUM(I211:I217)</f>
        <v>0</v>
      </c>
      <c r="J218" s="56"/>
      <c r="K218" s="57"/>
      <c r="L218" s="57"/>
      <c r="M218" s="57"/>
      <c r="N218" s="38">
        <f>SUM(N211:N217)</f>
        <v>0</v>
      </c>
      <c r="O218" s="57"/>
      <c r="P218" s="57"/>
      <c r="Q218" s="57"/>
      <c r="R218" s="38">
        <f>SUM(R211:R217)</f>
        <v>0</v>
      </c>
      <c r="S218" s="48"/>
      <c r="T218" s="48"/>
      <c r="U218" s="41" t="str">
        <f>IF(N218=0,"N/A",R218/N218-1)</f>
        <v>N/A</v>
      </c>
    </row>
    <row r="219" spans="2:21" x14ac:dyDescent="0.2">
      <c r="B219" s="16"/>
      <c r="C219" s="52"/>
      <c r="D219" s="53"/>
      <c r="E219" s="54"/>
      <c r="F219" s="54"/>
      <c r="G219" s="15"/>
      <c r="H219" s="18"/>
      <c r="I219" s="56"/>
      <c r="J219" s="56"/>
      <c r="K219" s="57"/>
      <c r="L219" s="57"/>
      <c r="M219" s="57"/>
      <c r="N219" s="38"/>
      <c r="O219" s="57"/>
      <c r="P219" s="57"/>
      <c r="Q219" s="57"/>
      <c r="R219" s="38"/>
      <c r="S219" s="48"/>
      <c r="T219" s="48"/>
      <c r="U219" s="41"/>
    </row>
    <row r="220" spans="2:21" x14ac:dyDescent="0.2">
      <c r="B220" s="16"/>
      <c r="C220" s="66"/>
      <c r="D220" s="53"/>
      <c r="E220" s="53"/>
      <c r="F220" s="53"/>
      <c r="G220" s="16"/>
      <c r="H220" s="4"/>
      <c r="I220" s="28"/>
      <c r="J220" s="28"/>
      <c r="K220" s="6"/>
      <c r="L220" s="6"/>
      <c r="M220" s="6"/>
      <c r="N220" s="7"/>
      <c r="O220" s="6"/>
      <c r="P220" s="6"/>
      <c r="Q220" s="6"/>
      <c r="R220" s="7"/>
      <c r="S220" s="8"/>
    </row>
    <row r="221" spans="2:21" x14ac:dyDescent="0.2">
      <c r="B221" s="84" t="s">
        <v>54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5">
        <f>N19+N30+N41+N52+N63+N74+N91+N108+N125+N142+N159+N176+N187+N198+N208+N218</f>
        <v>0</v>
      </c>
      <c r="O221" s="84"/>
      <c r="P221" s="84"/>
      <c r="Q221" s="84"/>
      <c r="R221" s="85">
        <f>R19+R30+R41+R52+R63+R74+R91+R108+R125+R142+R159+R176+R187+R198+R208+R218</f>
        <v>0</v>
      </c>
      <c r="S221" s="84"/>
      <c r="T221" s="84"/>
      <c r="U221" s="84" t="str">
        <f>IF(N221=0,"N/A",R221/N221-1)</f>
        <v>N/A</v>
      </c>
    </row>
    <row r="222" spans="2:21" x14ac:dyDescent="0.2">
      <c r="C222" s="86"/>
      <c r="D222" s="87"/>
      <c r="E222" s="87"/>
      <c r="F222" s="87"/>
    </row>
    <row r="223" spans="2:21" x14ac:dyDescent="0.2">
      <c r="C223" s="86"/>
      <c r="D223" s="87"/>
      <c r="E223" s="87"/>
      <c r="F223" s="87"/>
    </row>
    <row r="224" spans="2:21" x14ac:dyDescent="0.2">
      <c r="C224" s="86"/>
      <c r="D224" s="87"/>
      <c r="E224" s="87"/>
      <c r="F224" s="87"/>
    </row>
    <row r="225" spans="2:21" x14ac:dyDescent="0.2">
      <c r="C225" s="86"/>
      <c r="D225" s="87"/>
      <c r="E225" s="87"/>
      <c r="F225" s="87"/>
    </row>
    <row r="226" spans="2:21" x14ac:dyDescent="0.2">
      <c r="C226" s="66"/>
      <c r="D226" s="53"/>
      <c r="E226" s="53"/>
      <c r="F226" s="53"/>
      <c r="G226" s="16"/>
      <c r="H226" s="71"/>
      <c r="I226" s="28"/>
      <c r="J226" s="28"/>
      <c r="K226" s="6"/>
      <c r="L226" s="6"/>
      <c r="M226" s="6"/>
      <c r="N226" s="7"/>
      <c r="O226" s="6"/>
      <c r="P226" s="6"/>
      <c r="Q226" s="6"/>
      <c r="R226" s="7"/>
      <c r="S226" s="8"/>
    </row>
    <row r="227" spans="2:21" x14ac:dyDescent="0.2">
      <c r="B227" s="29" t="s">
        <v>55</v>
      </c>
      <c r="C227" s="1" t="s">
        <v>56</v>
      </c>
      <c r="D227" s="32"/>
      <c r="E227" s="32"/>
      <c r="F227" s="32"/>
      <c r="G227" s="77"/>
      <c r="H227" s="32"/>
      <c r="I227" s="61"/>
      <c r="J227" s="61"/>
      <c r="K227" s="78"/>
      <c r="L227" s="79"/>
      <c r="M227" s="64"/>
      <c r="N227" s="67"/>
      <c r="O227" s="64"/>
      <c r="P227" s="64"/>
      <c r="Q227" s="80"/>
      <c r="R227" s="67"/>
      <c r="S227" s="40"/>
      <c r="T227" s="40"/>
      <c r="U227" s="41"/>
    </row>
    <row r="228" spans="2:21" x14ac:dyDescent="0.2">
      <c r="C228" s="86"/>
      <c r="D228" s="87"/>
      <c r="E228" s="87"/>
      <c r="F228" s="87"/>
    </row>
    <row r="229" spans="2:21" x14ac:dyDescent="0.2">
      <c r="C229" s="86"/>
      <c r="D229" s="87"/>
    </row>
    <row r="230" spans="2:21" x14ac:dyDescent="0.2">
      <c r="C230" s="86"/>
      <c r="D230" s="87"/>
    </row>
    <row r="231" spans="2:21" x14ac:dyDescent="0.2">
      <c r="C231" s="86"/>
      <c r="D231" s="87"/>
    </row>
    <row r="232" spans="2:21" x14ac:dyDescent="0.2">
      <c r="C232" s="86"/>
      <c r="D232" s="87"/>
    </row>
    <row r="233" spans="2:21" x14ac:dyDescent="0.2">
      <c r="C233" s="86"/>
      <c r="D233" s="87"/>
    </row>
    <row r="234" spans="2:21" x14ac:dyDescent="0.2">
      <c r="D234" s="87"/>
    </row>
    <row r="235" spans="2:21" x14ac:dyDescent="0.2">
      <c r="D235" s="87"/>
    </row>
    <row r="236" spans="2:21" x14ac:dyDescent="0.2">
      <c r="D236" s="87"/>
    </row>
    <row r="237" spans="2:21" x14ac:dyDescent="0.2">
      <c r="D237" s="87"/>
    </row>
    <row r="238" spans="2:21" x14ac:dyDescent="0.2">
      <c r="D238" s="87"/>
    </row>
  </sheetData>
  <mergeCells count="5">
    <mergeCell ref="B3:U3"/>
    <mergeCell ref="B4:U4"/>
    <mergeCell ref="B5:U5"/>
    <mergeCell ref="K7:N7"/>
    <mergeCell ref="O7:R7"/>
  </mergeCells>
  <dataValidations count="3">
    <dataValidation type="list" allowBlank="1" showInputMessage="1" showErrorMessage="1" sqref="O7" xr:uid="{E7998520-B732-4BB2-A045-82FA42DBCCCB}">
      <formula1>"Proposed,Sold"</formula1>
    </dataValidation>
    <dataValidation type="list" allowBlank="1" showInputMessage="1" showErrorMessage="1" sqref="B4:U4" xr:uid="{23AA7742-717C-4FA8-BA5A-C2702D6969AE}">
      <formula1>"Summary of Proposed Monthly Rates,Summary of Sold Monthly Rates"</formula1>
    </dataValidation>
    <dataValidation type="list" allowBlank="1" showInputMessage="1" showErrorMessage="1" sqref="H55:H60" xr:uid="{CFEADA00-F221-4A15-9310-A84F03E80DB4}">
      <formula1>"100,% of Salary"</formula1>
    </dataValidation>
  </dataValidations>
  <printOptions horizontalCentered="1"/>
  <pageMargins left="0.25" right="0.25" top="0.5" bottom="0.5" header="0.5" footer="0.5"/>
  <pageSetup fitToHeight="0" orientation="landscape" r:id="rId1"/>
  <headerFooter>
    <oddFooter>&amp;C_x000D_&amp;1#&amp;"Aptos"&amp;8&amp;K000000 INTERNAL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EBC1-D5B8-4B55-9169-6FC2349C0CD6}">
  <sheetPr codeName="Sheet3"/>
  <dimension ref="A1:L21"/>
  <sheetViews>
    <sheetView zoomScaleNormal="100" workbookViewId="0">
      <selection activeCell="E25" sqref="E25"/>
    </sheetView>
  </sheetViews>
  <sheetFormatPr defaultColWidth="11.42578125" defaultRowHeight="12.75" x14ac:dyDescent="0.2"/>
  <cols>
    <col min="1" max="5" width="11.42578125" style="90" customWidth="1"/>
    <col min="6" max="6" width="5.140625" style="90" customWidth="1"/>
    <col min="7" max="16384" width="11.42578125" style="90"/>
  </cols>
  <sheetData>
    <row r="1" spans="1:12" ht="40.5" customHeight="1" x14ac:dyDescent="0.3">
      <c r="A1" s="88" t="str">
        <f>CONCATENATE('[1]Rate Sheet Template'!B3," - Optional Life Step Rates")</f>
        <v>Client Name - Optional Life Step Rates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9"/>
    </row>
    <row r="2" spans="1:12" ht="18" x14ac:dyDescent="0.25">
      <c r="A2" s="91" t="str">
        <f>'[1]Rate Sheet Template'!B4</f>
        <v>Summary of Proposed Monthly Rates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1:12" ht="18" x14ac:dyDescent="0.25">
      <c r="A3" s="91" t="str">
        <f>'[1]Rate Sheet Template'!B5</f>
        <v>Effective dd-mmm-yyyy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2"/>
    </row>
    <row r="4" spans="1:12" ht="13.5" thickBot="1" x14ac:dyDescent="0.25">
      <c r="A4" s="93"/>
      <c r="B4" s="93"/>
      <c r="C4" s="94"/>
      <c r="D4" s="94"/>
      <c r="E4" s="94"/>
      <c r="F4" s="93"/>
      <c r="G4" s="93"/>
      <c r="H4" s="93"/>
      <c r="I4" s="94"/>
      <c r="J4" s="94"/>
      <c r="K4" s="94"/>
      <c r="L4" s="95"/>
    </row>
    <row r="5" spans="1:12" ht="16.5" thickBot="1" x14ac:dyDescent="0.3">
      <c r="A5" s="96"/>
      <c r="B5" s="97"/>
      <c r="C5" s="98"/>
      <c r="G5" s="99" t="s">
        <v>57</v>
      </c>
      <c r="H5" s="100"/>
      <c r="I5" s="101">
        <v>0</v>
      </c>
      <c r="L5" s="102"/>
    </row>
    <row r="6" spans="1:12" ht="13.5" thickBot="1" x14ac:dyDescent="0.25">
      <c r="L6" s="102"/>
    </row>
    <row r="7" spans="1:12" ht="13.5" thickBot="1" x14ac:dyDescent="0.25">
      <c r="A7" s="103" t="s">
        <v>3</v>
      </c>
      <c r="B7" s="104"/>
      <c r="C7" s="104"/>
      <c r="D7" s="104"/>
      <c r="E7" s="105"/>
      <c r="F7" s="106"/>
      <c r="G7" s="107" t="s">
        <v>4</v>
      </c>
      <c r="H7" s="108"/>
      <c r="I7" s="108"/>
      <c r="J7" s="108"/>
      <c r="K7" s="109"/>
      <c r="L7" s="102"/>
    </row>
    <row r="8" spans="1:12" ht="13.5" thickBot="1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</row>
    <row r="9" spans="1:12" x14ac:dyDescent="0.2">
      <c r="A9" s="110"/>
      <c r="B9" s="111" t="s">
        <v>58</v>
      </c>
      <c r="C9" s="112"/>
      <c r="D9" s="111" t="s">
        <v>59</v>
      </c>
      <c r="E9" s="113"/>
      <c r="F9" s="93"/>
      <c r="G9" s="110"/>
      <c r="H9" s="111" t="str">
        <f>B9</f>
        <v>MALE - RATE/$1,000</v>
      </c>
      <c r="I9" s="112"/>
      <c r="J9" s="111" t="str">
        <f>D9</f>
        <v>FEMALE - RATE/$1,000</v>
      </c>
      <c r="K9" s="113"/>
      <c r="L9" s="93"/>
    </row>
    <row r="10" spans="1:12" x14ac:dyDescent="0.2">
      <c r="A10" s="114" t="s">
        <v>60</v>
      </c>
      <c r="B10" s="115" t="s">
        <v>61</v>
      </c>
      <c r="C10" s="115" t="s">
        <v>62</v>
      </c>
      <c r="D10" s="115" t="s">
        <v>61</v>
      </c>
      <c r="E10" s="116" t="s">
        <v>62</v>
      </c>
      <c r="F10" s="117"/>
      <c r="G10" s="114" t="s">
        <v>60</v>
      </c>
      <c r="H10" s="115" t="s">
        <v>61</v>
      </c>
      <c r="I10" s="115" t="s">
        <v>62</v>
      </c>
      <c r="J10" s="115" t="s">
        <v>61</v>
      </c>
      <c r="K10" s="116" t="s">
        <v>62</v>
      </c>
      <c r="L10" s="93"/>
    </row>
    <row r="11" spans="1:12" x14ac:dyDescent="0.2">
      <c r="A11" s="118" t="s">
        <v>63</v>
      </c>
      <c r="B11" s="119">
        <v>0</v>
      </c>
      <c r="C11" s="119">
        <v>0</v>
      </c>
      <c r="D11" s="119">
        <v>0</v>
      </c>
      <c r="E11" s="120">
        <v>0</v>
      </c>
      <c r="F11" s="93"/>
      <c r="G11" s="118" t="s">
        <v>63</v>
      </c>
      <c r="H11" s="119">
        <f>ROUND((B11*(1+$I$5)),3)</f>
        <v>0</v>
      </c>
      <c r="I11" s="119">
        <f>ROUND((C11*(1+$I$5)),3)</f>
        <v>0</v>
      </c>
      <c r="J11" s="119">
        <f>ROUND((D11*(1+$I$5)),3)</f>
        <v>0</v>
      </c>
      <c r="K11" s="120">
        <f>ROUND((E11*(1+$I$5)),3)</f>
        <v>0</v>
      </c>
      <c r="L11" s="93"/>
    </row>
    <row r="12" spans="1:12" x14ac:dyDescent="0.2">
      <c r="A12" s="118" t="s">
        <v>64</v>
      </c>
      <c r="B12" s="119">
        <v>0</v>
      </c>
      <c r="C12" s="119">
        <v>0</v>
      </c>
      <c r="D12" s="119">
        <v>0</v>
      </c>
      <c r="E12" s="120">
        <v>0</v>
      </c>
      <c r="F12" s="93"/>
      <c r="G12" s="118" t="s">
        <v>64</v>
      </c>
      <c r="H12" s="119">
        <f t="shared" ref="H12:K20" si="0">ROUND((B12*(1+$I$5)),3)</f>
        <v>0</v>
      </c>
      <c r="I12" s="119">
        <f t="shared" si="0"/>
        <v>0</v>
      </c>
      <c r="J12" s="119">
        <f t="shared" si="0"/>
        <v>0</v>
      </c>
      <c r="K12" s="120">
        <f t="shared" si="0"/>
        <v>0</v>
      </c>
      <c r="L12" s="93"/>
    </row>
    <row r="13" spans="1:12" x14ac:dyDescent="0.2">
      <c r="A13" s="118" t="s">
        <v>65</v>
      </c>
      <c r="B13" s="119">
        <v>0</v>
      </c>
      <c r="C13" s="119">
        <v>0</v>
      </c>
      <c r="D13" s="119">
        <v>0</v>
      </c>
      <c r="E13" s="120">
        <v>0</v>
      </c>
      <c r="F13" s="93"/>
      <c r="G13" s="118" t="s">
        <v>65</v>
      </c>
      <c r="H13" s="119">
        <f t="shared" si="0"/>
        <v>0</v>
      </c>
      <c r="I13" s="119">
        <f t="shared" si="0"/>
        <v>0</v>
      </c>
      <c r="J13" s="119">
        <f t="shared" si="0"/>
        <v>0</v>
      </c>
      <c r="K13" s="120">
        <f t="shared" si="0"/>
        <v>0</v>
      </c>
      <c r="L13" s="93"/>
    </row>
    <row r="14" spans="1:12" x14ac:dyDescent="0.2">
      <c r="A14" s="118" t="s">
        <v>66</v>
      </c>
      <c r="B14" s="119">
        <v>0</v>
      </c>
      <c r="C14" s="119">
        <v>0</v>
      </c>
      <c r="D14" s="119">
        <v>0</v>
      </c>
      <c r="E14" s="120">
        <v>0</v>
      </c>
      <c r="F14" s="93"/>
      <c r="G14" s="118" t="s">
        <v>66</v>
      </c>
      <c r="H14" s="119">
        <f t="shared" si="0"/>
        <v>0</v>
      </c>
      <c r="I14" s="119">
        <f t="shared" si="0"/>
        <v>0</v>
      </c>
      <c r="J14" s="119">
        <f t="shared" si="0"/>
        <v>0</v>
      </c>
      <c r="K14" s="120">
        <f t="shared" si="0"/>
        <v>0</v>
      </c>
      <c r="L14" s="93"/>
    </row>
    <row r="15" spans="1:12" x14ac:dyDescent="0.2">
      <c r="A15" s="118" t="s">
        <v>67</v>
      </c>
      <c r="B15" s="119">
        <v>0</v>
      </c>
      <c r="C15" s="119">
        <v>0</v>
      </c>
      <c r="D15" s="119">
        <v>0</v>
      </c>
      <c r="E15" s="120">
        <v>0</v>
      </c>
      <c r="F15" s="93"/>
      <c r="G15" s="118" t="s">
        <v>67</v>
      </c>
      <c r="H15" s="119">
        <f t="shared" si="0"/>
        <v>0</v>
      </c>
      <c r="I15" s="119">
        <f t="shared" si="0"/>
        <v>0</v>
      </c>
      <c r="J15" s="119">
        <f t="shared" si="0"/>
        <v>0</v>
      </c>
      <c r="K15" s="120">
        <f t="shared" si="0"/>
        <v>0</v>
      </c>
      <c r="L15" s="93"/>
    </row>
    <row r="16" spans="1:12" x14ac:dyDescent="0.2">
      <c r="A16" s="118" t="s">
        <v>68</v>
      </c>
      <c r="B16" s="119">
        <v>0</v>
      </c>
      <c r="C16" s="119">
        <v>0</v>
      </c>
      <c r="D16" s="119">
        <v>0</v>
      </c>
      <c r="E16" s="120">
        <v>0</v>
      </c>
      <c r="F16" s="93"/>
      <c r="G16" s="118" t="s">
        <v>68</v>
      </c>
      <c r="H16" s="119">
        <f t="shared" si="0"/>
        <v>0</v>
      </c>
      <c r="I16" s="119">
        <f t="shared" si="0"/>
        <v>0</v>
      </c>
      <c r="J16" s="119">
        <f t="shared" si="0"/>
        <v>0</v>
      </c>
      <c r="K16" s="120">
        <f t="shared" si="0"/>
        <v>0</v>
      </c>
      <c r="L16" s="93"/>
    </row>
    <row r="17" spans="1:12" x14ac:dyDescent="0.2">
      <c r="A17" s="118" t="s">
        <v>69</v>
      </c>
      <c r="B17" s="119">
        <v>0</v>
      </c>
      <c r="C17" s="119">
        <v>0</v>
      </c>
      <c r="D17" s="119">
        <v>0</v>
      </c>
      <c r="E17" s="120">
        <v>0</v>
      </c>
      <c r="F17" s="93"/>
      <c r="G17" s="118" t="s">
        <v>69</v>
      </c>
      <c r="H17" s="119">
        <f t="shared" si="0"/>
        <v>0</v>
      </c>
      <c r="I17" s="119">
        <f t="shared" si="0"/>
        <v>0</v>
      </c>
      <c r="J17" s="119">
        <f t="shared" si="0"/>
        <v>0</v>
      </c>
      <c r="K17" s="120">
        <f t="shared" si="0"/>
        <v>0</v>
      </c>
      <c r="L17" s="93"/>
    </row>
    <row r="18" spans="1:12" x14ac:dyDescent="0.2">
      <c r="A18" s="118" t="s">
        <v>70</v>
      </c>
      <c r="B18" s="119">
        <v>0</v>
      </c>
      <c r="C18" s="119">
        <v>0</v>
      </c>
      <c r="D18" s="119">
        <v>0</v>
      </c>
      <c r="E18" s="120">
        <v>0</v>
      </c>
      <c r="F18" s="93"/>
      <c r="G18" s="118" t="s">
        <v>70</v>
      </c>
      <c r="H18" s="119">
        <f t="shared" si="0"/>
        <v>0</v>
      </c>
      <c r="I18" s="119">
        <f t="shared" si="0"/>
        <v>0</v>
      </c>
      <c r="J18" s="119">
        <f t="shared" si="0"/>
        <v>0</v>
      </c>
      <c r="K18" s="120">
        <f t="shared" si="0"/>
        <v>0</v>
      </c>
      <c r="L18" s="93"/>
    </row>
    <row r="19" spans="1:12" x14ac:dyDescent="0.2">
      <c r="A19" s="118" t="s">
        <v>71</v>
      </c>
      <c r="B19" s="119">
        <v>0</v>
      </c>
      <c r="C19" s="119">
        <v>0</v>
      </c>
      <c r="D19" s="119">
        <v>0</v>
      </c>
      <c r="E19" s="120">
        <v>0</v>
      </c>
      <c r="F19" s="93"/>
      <c r="G19" s="118" t="s">
        <v>71</v>
      </c>
      <c r="H19" s="119">
        <f t="shared" si="0"/>
        <v>0</v>
      </c>
      <c r="I19" s="119">
        <f t="shared" si="0"/>
        <v>0</v>
      </c>
      <c r="J19" s="119">
        <f t="shared" si="0"/>
        <v>0</v>
      </c>
      <c r="K19" s="120">
        <f t="shared" si="0"/>
        <v>0</v>
      </c>
      <c r="L19" s="93"/>
    </row>
    <row r="20" spans="1:12" ht="13.5" thickBot="1" x14ac:dyDescent="0.25">
      <c r="A20" s="121" t="s">
        <v>72</v>
      </c>
      <c r="B20" s="122">
        <v>0</v>
      </c>
      <c r="C20" s="122">
        <v>0</v>
      </c>
      <c r="D20" s="122">
        <v>0</v>
      </c>
      <c r="E20" s="123">
        <v>0</v>
      </c>
      <c r="F20" s="93"/>
      <c r="G20" s="121" t="s">
        <v>72</v>
      </c>
      <c r="H20" s="122">
        <f t="shared" si="0"/>
        <v>0</v>
      </c>
      <c r="I20" s="122">
        <f t="shared" si="0"/>
        <v>0</v>
      </c>
      <c r="J20" s="122">
        <f t="shared" si="0"/>
        <v>0</v>
      </c>
      <c r="K20" s="123">
        <f t="shared" si="0"/>
        <v>0</v>
      </c>
      <c r="L20" s="93"/>
    </row>
    <row r="21" spans="1:12" x14ac:dyDescent="0.2">
      <c r="A21" s="124"/>
      <c r="B21" s="125"/>
      <c r="C21" s="125"/>
      <c r="D21" s="125"/>
      <c r="E21" s="125"/>
      <c r="F21" s="93"/>
      <c r="G21" s="124"/>
      <c r="H21" s="125"/>
      <c r="I21" s="125"/>
      <c r="J21" s="125"/>
      <c r="K21" s="125"/>
      <c r="L21" s="93"/>
    </row>
  </sheetData>
  <mergeCells count="4">
    <mergeCell ref="A1:K1"/>
    <mergeCell ref="A2:K2"/>
    <mergeCell ref="A3:K3"/>
    <mergeCell ref="G7:K7"/>
  </mergeCells>
  <conditionalFormatting sqref="H11:K20 B11:E20">
    <cfRule type="cellIs" dxfId="0" priority="1" stopIfTrue="1" operator="equal">
      <formula>""</formula>
    </cfRule>
  </conditionalFormatting>
  <dataValidations count="1">
    <dataValidation type="list" allowBlank="1" showInputMessage="1" showErrorMessage="1" sqref="G7" xr:uid="{6175BA48-0C8E-4461-8246-FEEDD9C6E9FE}">
      <formula1>"Proposed,Sold"</formula1>
    </dataValidation>
  </dataValidations>
  <printOptions horizontalCentered="1"/>
  <pageMargins left="0.5" right="0.5" top="1" bottom="1" header="0.4921259845" footer="0.4921259845"/>
  <pageSetup orientation="landscape" r:id="rId1"/>
  <headerFooter alignWithMargins="0">
    <oddFooter>&amp;C_x000D_&amp;1#&amp;"Aptos"&amp;8&amp;K000000 INTERNAL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Noemi De Vera</dc:creator>
  <cp:lastModifiedBy>Noemi De Vera</cp:lastModifiedBy>
  <dcterms:created xsi:type="dcterms:W3CDTF">2026-03-10T22:44:17Z</dcterms:created>
  <dcterms:modified xsi:type="dcterms:W3CDTF">2026-03-10T22:52:47Z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27cab5-59e6-424d-abbb-227cd06504a3_Enabled">
    <vt:lpwstr>true</vt:lpwstr>
  </property>
  <property fmtid="{D5CDD505-2E9C-101B-9397-08002B2CF9AE}" pid="3" name="MSIP_Label_5a27cab5-59e6-424d-abbb-227cd06504a3_SetDate">
    <vt:lpwstr>2026-03-10T22:52:47Z</vt:lpwstr>
  </property>
  <property fmtid="{D5CDD505-2E9C-101B-9397-08002B2CF9AE}" pid="4" name="MSIP_Label_5a27cab5-59e6-424d-abbb-227cd06504a3_Method">
    <vt:lpwstr>Privileged</vt:lpwstr>
  </property>
  <property fmtid="{D5CDD505-2E9C-101B-9397-08002B2CF9AE}" pid="5" name="MSIP_Label_5a27cab5-59e6-424d-abbb-227cd06504a3_Name">
    <vt:lpwstr>INTERNAL v2</vt:lpwstr>
  </property>
  <property fmtid="{D5CDD505-2E9C-101B-9397-08002B2CF9AE}" pid="6" name="MSIP_Label_5a27cab5-59e6-424d-abbb-227cd06504a3_SiteId">
    <vt:lpwstr>5d3e2773-e07f-4432-a630-1a0f68a28a05</vt:lpwstr>
  </property>
  <property fmtid="{D5CDD505-2E9C-101B-9397-08002B2CF9AE}" pid="7" name="MSIP_Label_5a27cab5-59e6-424d-abbb-227cd06504a3_ActionId">
    <vt:lpwstr>c7db9e9b-9e66-4656-8242-a3784182bf43</vt:lpwstr>
  </property>
  <property fmtid="{D5CDD505-2E9C-101B-9397-08002B2CF9AE}" pid="8" name="MSIP_Label_5a27cab5-59e6-424d-abbb-227cd06504a3_ContentBits">
    <vt:lpwstr>2</vt:lpwstr>
  </property>
  <property fmtid="{D5CDD505-2E9C-101B-9397-08002B2CF9AE}" pid="9" name="MSIP_Label_5a27cab5-59e6-424d-abbb-227cd06504a3_Tag">
    <vt:lpwstr>10, 0, 1, 1</vt:lpwstr>
  </property>
</Properties>
</file>